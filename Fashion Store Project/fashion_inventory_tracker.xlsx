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KU_Data" sheetId="2" state="visible" r:id="rId2"/>
    <sheet xmlns:r="http://schemas.openxmlformats.org/officeDocument/2006/relationships" name="Pipeline_Log" sheetId="3" state="visible" r:id="rId3"/>
    <sheet xmlns:r="http://schemas.openxmlformats.org/officeDocument/2006/relationships" name="Reorder_Alerts" sheetId="4" state="visible" r:id="rId4"/>
  </sheets>
  <definedNames>
    <definedName name="_xlnm._FilterDatabase" localSheetId="1" hidden="1">'SKU_Data'!$A$1:$M$141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AFA9EC"/>
      <sz val="9"/>
    </font>
    <font>
      <name val="Arial"/>
      <color rgb="FF888888"/>
      <sz val="8"/>
    </font>
    <font>
      <name val="Arial"/>
      <b val="1"/>
      <color rgb="FF534AB7"/>
      <sz val="18"/>
    </font>
    <font>
      <name val="Arial"/>
      <b val="1"/>
      <color rgb="FFFFFFFF"/>
      <sz val="10"/>
    </font>
    <font>
      <name val="Arial"/>
      <b val="1"/>
      <color rgb="FF1A1A1A"/>
      <sz val="9"/>
    </font>
    <font>
      <name val="Arial"/>
      <color rgb="FF1A1A1A"/>
      <sz val="10"/>
    </font>
    <font>
      <name val="Arial"/>
      <b val="1"/>
      <color rgb="FFFFFFFF"/>
      <sz val="12"/>
    </font>
    <font>
      <name val="Arial"/>
      <color rgb="FF1A1A1A"/>
      <sz val="9"/>
    </font>
    <font>
      <name val="Arial"/>
      <b val="1"/>
      <color rgb="001D9E75"/>
      <sz val="9"/>
    </font>
    <font>
      <name val="Arial"/>
      <b val="1"/>
      <color rgb="00BA7517"/>
      <sz val="9"/>
    </font>
    <font>
      <name val="Arial"/>
      <b val="1"/>
      <color rgb="00E24B4A"/>
      <sz val="10"/>
    </font>
    <font>
      <name val="Arial"/>
      <b val="1"/>
      <color rgb="00BA7517"/>
      <sz val="10"/>
    </font>
  </fonts>
  <fills count="13">
    <fill>
      <patternFill/>
    </fill>
    <fill>
      <patternFill patternType="gray125"/>
    </fill>
    <fill>
      <patternFill patternType="solid">
        <fgColor rgb="FF534AB7"/>
      </patternFill>
    </fill>
    <fill>
      <patternFill patternType="solid">
        <fgColor rgb="FF2D2960"/>
      </patternFill>
    </fill>
    <fill>
      <patternFill patternType="solid">
        <fgColor rgb="FFF5F5F5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FFA32D2D"/>
      </patternFill>
    </fill>
    <fill>
      <patternFill patternType="solid">
        <fgColor rgb="FFFEF4F4"/>
      </patternFill>
    </fill>
    <fill>
      <patternFill patternType="solid">
        <fgColor rgb="00FCEBEB"/>
      </patternFill>
    </fill>
    <fill>
      <patternFill patternType="solid">
        <fgColor rgb="FFFDF8EC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3A3280"/>
      </left>
      <right style="thin">
        <color rgb="FF3A3280"/>
      </right>
      <top style="thin">
        <color rgb="FF3A3280"/>
      </top>
      <bottom style="thin">
        <color rgb="FF3A3280"/>
      </bottom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164" fontId="7" fillId="6" borderId="4" applyAlignment="1" pivotButton="0" quotePrefix="0" xfId="0">
      <alignment horizontal="center" vertical="center"/>
    </xf>
    <xf numFmtId="165" fontId="7" fillId="6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/>
    </xf>
    <xf numFmtId="164" fontId="7" fillId="4" borderId="4" applyAlignment="1" pivotButton="0" quotePrefix="0" xfId="0">
      <alignment horizontal="center" vertical="center"/>
    </xf>
    <xf numFmtId="165" fontId="7" fillId="4" borderId="4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left" vertical="center"/>
    </xf>
    <xf numFmtId="0" fontId="11" fillId="8" borderId="4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2" borderId="4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E24B4A"/>
        <sz val="10"/>
      </font>
      <fill>
        <patternFill patternType="solid">
          <fgColor rgb="00FCEBEB"/>
          <bgColor rgb="00FCEBEB"/>
        </patternFill>
      </fill>
    </dxf>
    <dxf>
      <font>
        <name val="Arial"/>
        <b val="1"/>
        <color rgb="00BA7517"/>
        <sz val="10"/>
      </font>
      <fill>
        <patternFill patternType="solid">
          <fgColor rgb="00FAEEDA"/>
          <bgColor rgb="00FAEEDA"/>
        </patternFill>
      </fill>
    </dxf>
    <dxf>
      <font>
        <name val="Arial"/>
        <b val="1"/>
        <color rgb="001D9E75"/>
        <sz val="10"/>
      </font>
      <fill>
        <patternFill patternType="solid">
          <fgColor rgb="00EAF3DE"/>
          <bgColor rgb="00EAF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2" customWidth="1" min="10" max="10"/>
  </cols>
  <sheetData>
    <row r="1" ht="6" customHeight="1"/>
    <row r="2" ht="36" customHeight="1">
      <c r="A2" s="1" t="inlineStr">
        <is>
          <t>FLAIR — INVENTORY INTELLIGENCE DASHBOARD</t>
        </is>
      </c>
    </row>
    <row r="3" ht="20" customHeight="1">
      <c r="A3" s="2" t="inlineStr">
        <is>
          <t>Data Engineering Project · Fashion Store Inventory Tracker</t>
        </is>
      </c>
    </row>
    <row r="4" ht="10" customHeight="1"/>
    <row r="5" ht="18" customHeight="1">
      <c r="B5" s="3" t="inlineStr">
        <is>
          <t>Total SKUs</t>
        </is>
      </c>
      <c r="D5" s="3" t="inlineStr">
        <is>
          <t>Units on Hand</t>
        </is>
      </c>
      <c r="F5" s="3" t="inlineStr">
        <is>
          <t>Reorder Alerts</t>
        </is>
      </c>
      <c r="H5" s="3" t="inlineStr">
        <is>
          <t>Avg Days on Hand</t>
        </is>
      </c>
    </row>
    <row r="6" ht="32" customHeight="1">
      <c r="B6" s="4">
        <f>COUNTA(SKU_Data!A2:A141)</f>
        <v/>
      </c>
      <c r="D6" s="4">
        <f>SUM(SKU_Data!F2:F141)</f>
        <v/>
      </c>
      <c r="F6" s="4">
        <f>COUNTIF(SKU_Data!I2:I141,"Reorder")</f>
        <v/>
      </c>
      <c r="H6" s="4">
        <f>ROUND(AVERAGE(SKU_Data!H2:H141),1)</f>
        <v/>
      </c>
    </row>
    <row r="7" ht="10" customHeight="1"/>
    <row r="8" ht="18" customHeight="1">
      <c r="B8" s="3" t="inlineStr">
        <is>
          <t>Today Revenue (₹)</t>
        </is>
      </c>
      <c r="D8" s="3" t="inlineStr">
        <is>
          <t>Fill Rate %</t>
        </is>
      </c>
    </row>
    <row r="9" ht="32" customHeight="1">
      <c r="B9" s="4">
        <f>SUM(SKU_Data!K2:K141)</f>
        <v/>
      </c>
      <c r="D9" s="4">
        <f>ROUND(COUNTIF(SKU_Data!F2:F141,"&gt;"&amp;0)/COUNTA(SKU_Data!A2:A141)*100,1)</f>
        <v/>
      </c>
    </row>
    <row r="10" ht="10" customHeight="1"/>
    <row r="11" ht="22" customHeight="1">
      <c r="B11" s="5" t="inlineStr">
        <is>
          <t>CATEGORY INVENTORY SUMMARY</t>
        </is>
      </c>
    </row>
    <row r="12" ht="20" customHeight="1">
      <c r="B12" s="6" t="inlineStr">
        <is>
          <t>Category</t>
        </is>
      </c>
      <c r="C12" s="6" t="inlineStr">
        <is>
          <t>Total SKUs</t>
        </is>
      </c>
      <c r="D12" s="6" t="inlineStr">
        <is>
          <t>Units on Hand</t>
        </is>
      </c>
      <c r="E12" s="6" t="inlineStr">
        <is>
          <t>Units Sold (Day)</t>
        </is>
      </c>
      <c r="F12" s="6" t="inlineStr">
        <is>
          <t>Avg Days on Hand</t>
        </is>
      </c>
      <c r="G12" s="6" t="inlineStr">
        <is>
          <t>Revenue (₹)</t>
        </is>
      </c>
      <c r="H12" s="6" t="inlineStr">
        <is>
          <t>Reorder Count</t>
        </is>
      </c>
      <c r="I12" s="6" t="inlineStr">
        <is>
          <t>Status</t>
        </is>
      </c>
    </row>
    <row r="13" ht="18" customHeight="1">
      <c r="B13" s="7" t="inlineStr">
        <is>
          <t>Dresses</t>
        </is>
      </c>
      <c r="C13" s="8">
        <f>COUNTIF(SKU_Data!B2:B141,B13)</f>
        <v/>
      </c>
      <c r="D13" s="8">
        <f>SUMIF(SKU_Data!B2:B141,B13,SKU_Data!F2:F141)</f>
        <v/>
      </c>
      <c r="E13" s="8">
        <f>SUMIF(SKU_Data!B2:B141,B13,SKU_Data!G2:G141)</f>
        <v/>
      </c>
      <c r="F13" s="9">
        <f>ROUND(AVERAGEIF(SKU_Data!B2:B141,B13,SKU_Data!H2:H141),1)</f>
        <v/>
      </c>
      <c r="G13" s="10">
        <f>SUMIF(SKU_Data!B2:B141,B13,SKU_Data!K2:K141)</f>
        <v/>
      </c>
      <c r="H13" s="8">
        <f>COUNTIFS(SKU_Data!B2:B141,B13,SKU_Data!I2:I141,"Reorder")</f>
        <v/>
      </c>
      <c r="I13" s="8">
        <f>IF(G13&gt;0,"⚠ Needs Attention","✓ Healthy")</f>
        <v/>
      </c>
    </row>
    <row r="14" ht="18" customHeight="1">
      <c r="B14" s="11" t="inlineStr">
        <is>
          <t>Tops</t>
        </is>
      </c>
      <c r="C14" s="12">
        <f>COUNTIF(SKU_Data!B2:B141,B14)</f>
        <v/>
      </c>
      <c r="D14" s="12">
        <f>SUMIF(SKU_Data!B2:B141,B14,SKU_Data!F2:F141)</f>
        <v/>
      </c>
      <c r="E14" s="12">
        <f>SUMIF(SKU_Data!B2:B141,B14,SKU_Data!G2:G141)</f>
        <v/>
      </c>
      <c r="F14" s="13">
        <f>ROUND(AVERAGEIF(SKU_Data!B2:B141,B14,SKU_Data!H2:H141),1)</f>
        <v/>
      </c>
      <c r="G14" s="14">
        <f>SUMIF(SKU_Data!B2:B141,B14,SKU_Data!K2:K141)</f>
        <v/>
      </c>
      <c r="H14" s="12">
        <f>COUNTIFS(SKU_Data!B2:B141,B14,SKU_Data!I2:I141,"Reorder")</f>
        <v/>
      </c>
      <c r="I14" s="12">
        <f>IF(G14&gt;0,"⚠ Needs Attention","✓ Healthy")</f>
        <v/>
      </c>
    </row>
    <row r="15" ht="18" customHeight="1">
      <c r="B15" s="7" t="inlineStr">
        <is>
          <t>Denim</t>
        </is>
      </c>
      <c r="C15" s="8">
        <f>COUNTIF(SKU_Data!B2:B141,B15)</f>
        <v/>
      </c>
      <c r="D15" s="8">
        <f>SUMIF(SKU_Data!B2:B141,B15,SKU_Data!F2:F141)</f>
        <v/>
      </c>
      <c r="E15" s="8">
        <f>SUMIF(SKU_Data!B2:B141,B15,SKU_Data!G2:G141)</f>
        <v/>
      </c>
      <c r="F15" s="9">
        <f>ROUND(AVERAGEIF(SKU_Data!B2:B141,B15,SKU_Data!H2:H141),1)</f>
        <v/>
      </c>
      <c r="G15" s="10">
        <f>SUMIF(SKU_Data!B2:B141,B15,SKU_Data!K2:K141)</f>
        <v/>
      </c>
      <c r="H15" s="8">
        <f>COUNTIFS(SKU_Data!B2:B141,B15,SKU_Data!I2:I141,"Reorder")</f>
        <v/>
      </c>
      <c r="I15" s="8">
        <f>IF(G15&gt;0,"⚠ Needs Attention","✓ Healthy")</f>
        <v/>
      </c>
    </row>
    <row r="16" ht="18" customHeight="1">
      <c r="B16" s="11" t="inlineStr">
        <is>
          <t>Footwear</t>
        </is>
      </c>
      <c r="C16" s="12">
        <f>COUNTIF(SKU_Data!B2:B141,B16)</f>
        <v/>
      </c>
      <c r="D16" s="12">
        <f>SUMIF(SKU_Data!B2:B141,B16,SKU_Data!F2:F141)</f>
        <v/>
      </c>
      <c r="E16" s="12">
        <f>SUMIF(SKU_Data!B2:B141,B16,SKU_Data!G2:G141)</f>
        <v/>
      </c>
      <c r="F16" s="13">
        <f>ROUND(AVERAGEIF(SKU_Data!B2:B141,B16,SKU_Data!H2:H141),1)</f>
        <v/>
      </c>
      <c r="G16" s="14">
        <f>SUMIF(SKU_Data!B2:B141,B16,SKU_Data!K2:K141)</f>
        <v/>
      </c>
      <c r="H16" s="12">
        <f>COUNTIFS(SKU_Data!B2:B141,B16,SKU_Data!I2:I141,"Reorder")</f>
        <v/>
      </c>
      <c r="I16" s="12">
        <f>IF(G16&gt;0,"⚠ Needs Attention","✓ Healthy")</f>
        <v/>
      </c>
    </row>
    <row r="17" ht="18" customHeight="1">
      <c r="B17" s="7" t="inlineStr">
        <is>
          <t>Accessories</t>
        </is>
      </c>
      <c r="C17" s="8">
        <f>COUNTIF(SKU_Data!B2:B141,B17)</f>
        <v/>
      </c>
      <c r="D17" s="8">
        <f>SUMIF(SKU_Data!B2:B141,B17,SKU_Data!F2:F141)</f>
        <v/>
      </c>
      <c r="E17" s="8">
        <f>SUMIF(SKU_Data!B2:B141,B17,SKU_Data!G2:G141)</f>
        <v/>
      </c>
      <c r="F17" s="9">
        <f>ROUND(AVERAGEIF(SKU_Data!B2:B141,B17,SKU_Data!H2:H141),1)</f>
        <v/>
      </c>
      <c r="G17" s="10">
        <f>SUMIF(SKU_Data!B2:B141,B17,SKU_Data!K2:K141)</f>
        <v/>
      </c>
      <c r="H17" s="8">
        <f>COUNTIFS(SKU_Data!B2:B141,B17,SKU_Data!I2:I141,"Reorder")</f>
        <v/>
      </c>
      <c r="I17" s="8">
        <f>IF(G17&gt;0,"⚠ Needs Attention","✓ Healthy")</f>
        <v/>
      </c>
    </row>
    <row r="18" ht="18" customHeight="1">
      <c r="B18" s="11" t="inlineStr">
        <is>
          <t>Outerwear</t>
        </is>
      </c>
      <c r="C18" s="12">
        <f>COUNTIF(SKU_Data!B2:B141,B18)</f>
        <v/>
      </c>
      <c r="D18" s="12">
        <f>SUMIF(SKU_Data!B2:B141,B18,SKU_Data!F2:F141)</f>
        <v/>
      </c>
      <c r="E18" s="12">
        <f>SUMIF(SKU_Data!B2:B141,B18,SKU_Data!G2:G141)</f>
        <v/>
      </c>
      <c r="F18" s="13">
        <f>ROUND(AVERAGEIF(SKU_Data!B2:B141,B18,SKU_Data!H2:H141),1)</f>
        <v/>
      </c>
      <c r="G18" s="14">
        <f>SUMIF(SKU_Data!B2:B141,B18,SKU_Data!K2:K141)</f>
        <v/>
      </c>
      <c r="H18" s="12">
        <f>COUNTIFS(SKU_Data!B2:B141,B18,SKU_Data!I2:I141,"Reorder")</f>
        <v/>
      </c>
      <c r="I18" s="12">
        <f>IF(G18&gt;0,"⚠ Needs Attention","✓ Healthy")</f>
        <v/>
      </c>
    </row>
    <row r="19" ht="18" customHeight="1">
      <c r="B19" s="7" t="inlineStr">
        <is>
          <t>Swimwear</t>
        </is>
      </c>
      <c r="C19" s="8">
        <f>COUNTIF(SKU_Data!B2:B141,B19)</f>
        <v/>
      </c>
      <c r="D19" s="8">
        <f>SUMIF(SKU_Data!B2:B141,B19,SKU_Data!F2:F141)</f>
        <v/>
      </c>
      <c r="E19" s="8">
        <f>SUMIF(SKU_Data!B2:B141,B19,SKU_Data!G2:G141)</f>
        <v/>
      </c>
      <c r="F19" s="9">
        <f>ROUND(AVERAGEIF(SKU_Data!B2:B141,B19,SKU_Data!H2:H141),1)</f>
        <v/>
      </c>
      <c r="G19" s="10">
        <f>SUMIF(SKU_Data!B2:B141,B19,SKU_Data!K2:K141)</f>
        <v/>
      </c>
      <c r="H19" s="8">
        <f>COUNTIFS(SKU_Data!B2:B141,B19,SKU_Data!I2:I141,"Reorder")</f>
        <v/>
      </c>
      <c r="I19" s="8">
        <f>IF(G19&gt;0,"⚠ Needs Attention","✓ Healthy")</f>
        <v/>
      </c>
    </row>
  </sheetData>
  <mergeCells count="15">
    <mergeCell ref="D8:E8"/>
    <mergeCell ref="D6:E6"/>
    <mergeCell ref="B6:C6"/>
    <mergeCell ref="H6:I6"/>
    <mergeCell ref="B11:I11"/>
    <mergeCell ref="B5:C5"/>
    <mergeCell ref="F5:G5"/>
    <mergeCell ref="D5:E5"/>
    <mergeCell ref="A3:J3"/>
    <mergeCell ref="F6:G6"/>
    <mergeCell ref="H5:I5"/>
    <mergeCell ref="A2:J2"/>
    <mergeCell ref="B9:C9"/>
    <mergeCell ref="D9:E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0" customWidth="1" min="4" max="4"/>
    <col width="11" customWidth="1" min="5" max="5"/>
    <col width="13" customWidth="1" min="6" max="6"/>
    <col width="14" customWidth="1" min="7" max="7"/>
    <col width="13" customWidth="1" min="8" max="8"/>
    <col width="9" customWidth="1" min="9" max="9"/>
    <col width="13" customWidth="1" min="10" max="10"/>
    <col width="14" customWidth="1" min="11" max="11"/>
    <col width="12" customWidth="1" min="12" max="12"/>
    <col width="9" customWidth="1" min="13" max="13"/>
  </cols>
  <sheetData>
    <row r="1" ht="24" customHeight="1">
      <c r="A1" s="15" t="inlineStr">
        <is>
          <t>SKU</t>
        </is>
      </c>
      <c r="B1" s="15" t="inlineStr">
        <is>
          <t>Category</t>
        </is>
      </c>
      <c r="C1" s="15" t="inlineStr">
        <is>
          <t>Product Name</t>
        </is>
      </c>
      <c r="D1" s="15" t="inlineStr">
        <is>
          <t>Color</t>
        </is>
      </c>
      <c r="E1" s="15" t="inlineStr">
        <is>
          <t>Size Range</t>
        </is>
      </c>
      <c r="F1" s="15" t="inlineStr">
        <is>
          <t>Stock on Hand</t>
        </is>
      </c>
      <c r="G1" s="15" t="inlineStr">
        <is>
          <t>Units Sold (Day)</t>
        </is>
      </c>
      <c r="H1" s="15" t="inlineStr">
        <is>
          <t>Days on Hand</t>
        </is>
      </c>
      <c r="I1" s="15" t="inlineStr">
        <is>
          <t>Status</t>
        </is>
      </c>
      <c r="J1" s="15" t="inlineStr">
        <is>
          <t>Reorder Point</t>
        </is>
      </c>
      <c r="K1" s="15" t="inlineStr">
        <is>
          <t>Revenue (₹)</t>
        </is>
      </c>
      <c r="L1" s="15" t="inlineStr">
        <is>
          <t>Unit Price (₹)</t>
        </is>
      </c>
      <c r="M1" s="15" t="inlineStr">
        <is>
          <t>Margin %</t>
        </is>
      </c>
    </row>
    <row r="2" ht="16" customHeight="1">
      <c r="A2" s="16" t="inlineStr">
        <is>
          <t>DR-0001</t>
        </is>
      </c>
      <c r="B2" s="16" t="inlineStr">
        <is>
          <t>Dresses</t>
        </is>
      </c>
      <c r="C2" s="17" t="inlineStr">
        <is>
          <t>Silk Wrap Dress</t>
        </is>
      </c>
      <c r="D2" s="16" t="inlineStr">
        <is>
          <t>Navy</t>
        </is>
      </c>
      <c r="E2" s="16" t="inlineStr">
        <is>
          <t>XS–XXL</t>
        </is>
      </c>
      <c r="F2" s="16" t="n">
        <v>163</v>
      </c>
      <c r="G2" s="16" t="n">
        <v>3</v>
      </c>
      <c r="H2" s="16">
        <f>IF(G2&gt;0,ROUND(F2/G2,1),"-")</f>
        <v/>
      </c>
      <c r="I2" s="16">
        <f>IF(F2&lt;=J2,"Reorder",IF(F2&lt;=J2*1.5,"Low","OK"))</f>
        <v/>
      </c>
      <c r="J2" s="16" t="n">
        <v>20</v>
      </c>
      <c r="K2" s="18">
        <f>F2*L2</f>
        <v/>
      </c>
      <c r="L2" s="18" t="n">
        <v>688</v>
      </c>
      <c r="M2" s="19" t="n">
        <v>0.374</v>
      </c>
    </row>
    <row r="3" ht="16" customHeight="1">
      <c r="A3" s="20" t="inlineStr">
        <is>
          <t>DR-0002</t>
        </is>
      </c>
      <c r="B3" s="20" t="inlineStr">
        <is>
          <t>Dresses</t>
        </is>
      </c>
      <c r="C3" s="21" t="inlineStr">
        <is>
          <t>Midi Floral Dress</t>
        </is>
      </c>
      <c r="D3" s="20" t="inlineStr">
        <is>
          <t>Teal</t>
        </is>
      </c>
      <c r="E3" s="20" t="inlineStr">
        <is>
          <t>XS–XXL</t>
        </is>
      </c>
      <c r="F3" s="20" t="n">
        <v>188</v>
      </c>
      <c r="G3" s="20" t="n">
        <v>3</v>
      </c>
      <c r="H3" s="20">
        <f>IF(G3&gt;0,ROUND(F3/G3,1),"-")</f>
        <v/>
      </c>
      <c r="I3" s="20">
        <f>IF(F3&lt;=J3,"Reorder",IF(F3&lt;=J3*1.5,"Low","OK"))</f>
        <v/>
      </c>
      <c r="J3" s="20" t="n">
        <v>15</v>
      </c>
      <c r="K3" s="22">
        <f>F3*L3</f>
        <v/>
      </c>
      <c r="L3" s="22" t="n">
        <v>5575</v>
      </c>
      <c r="M3" s="23" t="n">
        <v>0.583</v>
      </c>
    </row>
    <row r="4" ht="16" customHeight="1">
      <c r="A4" s="16" t="inlineStr">
        <is>
          <t>DR-0003</t>
        </is>
      </c>
      <c r="B4" s="16" t="inlineStr">
        <is>
          <t>Dresses</t>
        </is>
      </c>
      <c r="C4" s="17" t="inlineStr">
        <is>
          <t>Shirt Dress</t>
        </is>
      </c>
      <c r="D4" s="16" t="inlineStr">
        <is>
          <t>Teal</t>
        </is>
      </c>
      <c r="E4" s="16" t="inlineStr">
        <is>
          <t>XS–XXL</t>
        </is>
      </c>
      <c r="F4" s="16" t="n">
        <v>108</v>
      </c>
      <c r="G4" s="16" t="n">
        <v>1</v>
      </c>
      <c r="H4" s="16">
        <f>IF(G4&gt;0,ROUND(F4/G4,1),"-")</f>
        <v/>
      </c>
      <c r="I4" s="16">
        <f>IF(F4&lt;=J4,"Reorder",IF(F4&lt;=J4*1.5,"Low","OK"))</f>
        <v/>
      </c>
      <c r="J4" s="16" t="n">
        <v>40</v>
      </c>
      <c r="K4" s="18">
        <f>F4*L4</f>
        <v/>
      </c>
      <c r="L4" s="18" t="n">
        <v>723</v>
      </c>
      <c r="M4" s="19" t="n">
        <v>0.354</v>
      </c>
    </row>
    <row r="5" ht="16" customHeight="1">
      <c r="A5" s="20" t="inlineStr">
        <is>
          <t>DR-0004</t>
        </is>
      </c>
      <c r="B5" s="20" t="inlineStr">
        <is>
          <t>Dresses</t>
        </is>
      </c>
      <c r="C5" s="21" t="inlineStr">
        <is>
          <t>Bodycon Dress</t>
        </is>
      </c>
      <c r="D5" s="20" t="inlineStr">
        <is>
          <t>Sage</t>
        </is>
      </c>
      <c r="E5" s="20" t="inlineStr">
        <is>
          <t>XS–XXL</t>
        </is>
      </c>
      <c r="F5" s="20" t="n">
        <v>6</v>
      </c>
      <c r="G5" s="20" t="n">
        <v>17</v>
      </c>
      <c r="H5" s="20">
        <f>IF(G5&gt;0,ROUND(F5/G5,1),"-")</f>
        <v/>
      </c>
      <c r="I5" s="20">
        <f>IF(F5&lt;=J5,"Reorder",IF(F5&lt;=J5*1.5,"Low","OK"))</f>
        <v/>
      </c>
      <c r="J5" s="20" t="n">
        <v>40</v>
      </c>
      <c r="K5" s="22">
        <f>F5*L5</f>
        <v/>
      </c>
      <c r="L5" s="22" t="n">
        <v>1991</v>
      </c>
      <c r="M5" s="23" t="n">
        <v>0.501</v>
      </c>
    </row>
    <row r="6" ht="16" customHeight="1">
      <c r="A6" s="16" t="inlineStr">
        <is>
          <t>DR-0005</t>
        </is>
      </c>
      <c r="B6" s="16" t="inlineStr">
        <is>
          <t>Dresses</t>
        </is>
      </c>
      <c r="C6" s="17" t="inlineStr">
        <is>
          <t>Linen Co-ord</t>
        </is>
      </c>
      <c r="D6" s="16" t="inlineStr">
        <is>
          <t>Navy</t>
        </is>
      </c>
      <c r="E6" s="16" t="inlineStr">
        <is>
          <t>XS–XXL</t>
        </is>
      </c>
      <c r="F6" s="16" t="n">
        <v>56</v>
      </c>
      <c r="G6" s="16" t="n">
        <v>14</v>
      </c>
      <c r="H6" s="16">
        <f>IF(G6&gt;0,ROUND(F6/G6,1),"-")</f>
        <v/>
      </c>
      <c r="I6" s="16">
        <f>IF(F6&lt;=J6,"Reorder",IF(F6&lt;=J6*1.5,"Low","OK"))</f>
        <v/>
      </c>
      <c r="J6" s="16" t="n">
        <v>15</v>
      </c>
      <c r="K6" s="18">
        <f>F6*L6</f>
        <v/>
      </c>
      <c r="L6" s="18" t="n">
        <v>4919</v>
      </c>
      <c r="M6" s="19" t="n">
        <v>0.555</v>
      </c>
    </row>
    <row r="7" ht="16" customHeight="1">
      <c r="A7" s="20" t="inlineStr">
        <is>
          <t>DR-0006</t>
        </is>
      </c>
      <c r="B7" s="20" t="inlineStr">
        <is>
          <t>Dresses</t>
        </is>
      </c>
      <c r="C7" s="21" t="inlineStr">
        <is>
          <t>Maxi Sundress</t>
        </is>
      </c>
      <c r="D7" s="20" t="inlineStr">
        <is>
          <t>White</t>
        </is>
      </c>
      <c r="E7" s="20" t="inlineStr">
        <is>
          <t>XS–XXL</t>
        </is>
      </c>
      <c r="F7" s="20" t="n">
        <v>178</v>
      </c>
      <c r="G7" s="20" t="n">
        <v>13</v>
      </c>
      <c r="H7" s="20">
        <f>IF(G7&gt;0,ROUND(F7/G7,1),"-")</f>
        <v/>
      </c>
      <c r="I7" s="20">
        <f>IF(F7&lt;=J7,"Reorder",IF(F7&lt;=J7*1.5,"Low","OK"))</f>
        <v/>
      </c>
      <c r="J7" s="20" t="n">
        <v>25</v>
      </c>
      <c r="K7" s="22">
        <f>F7*L7</f>
        <v/>
      </c>
      <c r="L7" s="22" t="n">
        <v>3052</v>
      </c>
      <c r="M7" s="23" t="n">
        <v>0.333</v>
      </c>
    </row>
    <row r="8" ht="16" customHeight="1">
      <c r="A8" s="16" t="inlineStr">
        <is>
          <t>DR-0007</t>
        </is>
      </c>
      <c r="B8" s="16" t="inlineStr">
        <is>
          <t>Dresses</t>
        </is>
      </c>
      <c r="C8" s="17" t="inlineStr">
        <is>
          <t>Mini Ruffle</t>
        </is>
      </c>
      <c r="D8" s="16" t="inlineStr">
        <is>
          <t>Olive</t>
        </is>
      </c>
      <c r="E8" s="16" t="inlineStr">
        <is>
          <t>XS–XXL</t>
        </is>
      </c>
      <c r="F8" s="16" t="n">
        <v>23</v>
      </c>
      <c r="G8" s="16" t="n">
        <v>12</v>
      </c>
      <c r="H8" s="16">
        <f>IF(G8&gt;0,ROUND(F8/G8,1),"-")</f>
        <v/>
      </c>
      <c r="I8" s="16">
        <f>IF(F8&lt;=J8,"Reorder",IF(F8&lt;=J8*1.5,"Low","OK"))</f>
        <v/>
      </c>
      <c r="J8" s="16" t="n">
        <v>40</v>
      </c>
      <c r="K8" s="18">
        <f>F8*L8</f>
        <v/>
      </c>
      <c r="L8" s="18" t="n">
        <v>1225</v>
      </c>
      <c r="M8" s="19" t="n">
        <v>0.5679999999999999</v>
      </c>
    </row>
    <row r="9" ht="16" customHeight="1">
      <c r="A9" s="20" t="inlineStr">
        <is>
          <t>DR-0008</t>
        </is>
      </c>
      <c r="B9" s="20" t="inlineStr">
        <is>
          <t>Dresses</t>
        </is>
      </c>
      <c r="C9" s="21" t="inlineStr">
        <is>
          <t>Blazer Dress</t>
        </is>
      </c>
      <c r="D9" s="20" t="inlineStr">
        <is>
          <t>White</t>
        </is>
      </c>
      <c r="E9" s="20" t="inlineStr">
        <is>
          <t>XS–XXL</t>
        </is>
      </c>
      <c r="F9" s="20" t="n">
        <v>206</v>
      </c>
      <c r="G9" s="20" t="n">
        <v>1</v>
      </c>
      <c r="H9" s="20">
        <f>IF(G9&gt;0,ROUND(F9/G9,1),"-")</f>
        <v/>
      </c>
      <c r="I9" s="20">
        <f>IF(F9&lt;=J9,"Reorder",IF(F9&lt;=J9*1.5,"Low","OK"))</f>
        <v/>
      </c>
      <c r="J9" s="20" t="n">
        <v>30</v>
      </c>
      <c r="K9" s="22">
        <f>F9*L9</f>
        <v/>
      </c>
      <c r="L9" s="22" t="n">
        <v>5973</v>
      </c>
      <c r="M9" s="23" t="n">
        <v>0.462</v>
      </c>
    </row>
    <row r="10" ht="16" customHeight="1">
      <c r="A10" s="16" t="inlineStr">
        <is>
          <t>DR-0009</t>
        </is>
      </c>
      <c r="B10" s="16" t="inlineStr">
        <is>
          <t>Dresses</t>
        </is>
      </c>
      <c r="C10" s="17" t="inlineStr">
        <is>
          <t>Slip Dress</t>
        </is>
      </c>
      <c r="D10" s="16" t="inlineStr">
        <is>
          <t>Teal</t>
        </is>
      </c>
      <c r="E10" s="16" t="inlineStr">
        <is>
          <t>XS–XXL</t>
        </is>
      </c>
      <c r="F10" s="16" t="n">
        <v>141</v>
      </c>
      <c r="G10" s="16" t="n">
        <v>9</v>
      </c>
      <c r="H10" s="16">
        <f>IF(G10&gt;0,ROUND(F10/G10,1),"-")</f>
        <v/>
      </c>
      <c r="I10" s="16">
        <f>IF(F10&lt;=J10,"Reorder",IF(F10&lt;=J10*1.5,"Low","OK"))</f>
        <v/>
      </c>
      <c r="J10" s="16" t="n">
        <v>25</v>
      </c>
      <c r="K10" s="18">
        <f>F10*L10</f>
        <v/>
      </c>
      <c r="L10" s="18" t="n">
        <v>6721</v>
      </c>
      <c r="M10" s="19" t="n">
        <v>0.49</v>
      </c>
    </row>
    <row r="11" ht="16" customHeight="1">
      <c r="A11" s="20" t="inlineStr">
        <is>
          <t>DR-0010</t>
        </is>
      </c>
      <c r="B11" s="20" t="inlineStr">
        <is>
          <t>Dresses</t>
        </is>
      </c>
      <c r="C11" s="21" t="inlineStr">
        <is>
          <t>Tiered Midi</t>
        </is>
      </c>
      <c r="D11" s="20" t="inlineStr">
        <is>
          <t>White</t>
        </is>
      </c>
      <c r="E11" s="20" t="inlineStr">
        <is>
          <t>XS–XXL</t>
        </is>
      </c>
      <c r="F11" s="20" t="n">
        <v>49</v>
      </c>
      <c r="G11" s="20" t="n">
        <v>22</v>
      </c>
      <c r="H11" s="20">
        <f>IF(G11&gt;0,ROUND(F11/G11,1),"-")</f>
        <v/>
      </c>
      <c r="I11" s="20">
        <f>IF(F11&lt;=J11,"Reorder",IF(F11&lt;=J11*1.5,"Low","OK"))</f>
        <v/>
      </c>
      <c r="J11" s="20" t="n">
        <v>25</v>
      </c>
      <c r="K11" s="22">
        <f>F11*L11</f>
        <v/>
      </c>
      <c r="L11" s="22" t="n">
        <v>1022</v>
      </c>
      <c r="M11" s="23" t="n">
        <v>0.505</v>
      </c>
    </row>
    <row r="12" ht="16" customHeight="1">
      <c r="A12" s="16" t="inlineStr">
        <is>
          <t>DR-0011</t>
        </is>
      </c>
      <c r="B12" s="16" t="inlineStr">
        <is>
          <t>Dresses</t>
        </is>
      </c>
      <c r="C12" s="17" t="inlineStr">
        <is>
          <t>Asymmetric Hem</t>
        </is>
      </c>
      <c r="D12" s="16" t="inlineStr">
        <is>
          <t>Rust</t>
        </is>
      </c>
      <c r="E12" s="16" t="inlineStr">
        <is>
          <t>XS–XXL</t>
        </is>
      </c>
      <c r="F12" s="16" t="n">
        <v>218</v>
      </c>
      <c r="G12" s="16" t="n">
        <v>7</v>
      </c>
      <c r="H12" s="16">
        <f>IF(G12&gt;0,ROUND(F12/G12,1),"-")</f>
        <v/>
      </c>
      <c r="I12" s="16">
        <f>IF(F12&lt;=J12,"Reorder",IF(F12&lt;=J12*1.5,"Low","OK"))</f>
        <v/>
      </c>
      <c r="J12" s="16" t="n">
        <v>30</v>
      </c>
      <c r="K12" s="18">
        <f>F12*L12</f>
        <v/>
      </c>
      <c r="L12" s="18" t="n">
        <v>6999</v>
      </c>
      <c r="M12" s="19" t="n">
        <v>0.409</v>
      </c>
    </row>
    <row r="13" ht="16" customHeight="1">
      <c r="A13" s="20" t="inlineStr">
        <is>
          <t>DR-0012</t>
        </is>
      </c>
      <c r="B13" s="20" t="inlineStr">
        <is>
          <t>Dresses</t>
        </is>
      </c>
      <c r="C13" s="21" t="inlineStr">
        <is>
          <t>Smocked Bodice</t>
        </is>
      </c>
      <c r="D13" s="20" t="inlineStr">
        <is>
          <t>Teal</t>
        </is>
      </c>
      <c r="E13" s="20" t="inlineStr">
        <is>
          <t>XS–XXL</t>
        </is>
      </c>
      <c r="F13" s="20" t="n">
        <v>41</v>
      </c>
      <c r="G13" s="20" t="n">
        <v>11</v>
      </c>
      <c r="H13" s="20">
        <f>IF(G13&gt;0,ROUND(F13/G13,1),"-")</f>
        <v/>
      </c>
      <c r="I13" s="20">
        <f>IF(F13&lt;=J13,"Reorder",IF(F13&lt;=J13*1.5,"Low","OK"))</f>
        <v/>
      </c>
      <c r="J13" s="20" t="n">
        <v>15</v>
      </c>
      <c r="K13" s="22">
        <f>F13*L13</f>
        <v/>
      </c>
      <c r="L13" s="22" t="n">
        <v>3165</v>
      </c>
      <c r="M13" s="23" t="n">
        <v>0.508</v>
      </c>
    </row>
    <row r="14" ht="16" customHeight="1">
      <c r="A14" s="16" t="inlineStr">
        <is>
          <t>DR-0013</t>
        </is>
      </c>
      <c r="B14" s="16" t="inlineStr">
        <is>
          <t>Dresses</t>
        </is>
      </c>
      <c r="C14" s="17" t="inlineStr">
        <is>
          <t>Puff Sleeve</t>
        </is>
      </c>
      <c r="D14" s="16" t="inlineStr">
        <is>
          <t>Sage</t>
        </is>
      </c>
      <c r="E14" s="16" t="inlineStr">
        <is>
          <t>XS–XXL</t>
        </is>
      </c>
      <c r="F14" s="16" t="n">
        <v>162</v>
      </c>
      <c r="G14" s="16" t="n">
        <v>5</v>
      </c>
      <c r="H14" s="16">
        <f>IF(G14&gt;0,ROUND(F14/G14,1),"-")</f>
        <v/>
      </c>
      <c r="I14" s="16">
        <f>IF(F14&lt;=J14,"Reorder",IF(F14&lt;=J14*1.5,"Low","OK"))</f>
        <v/>
      </c>
      <c r="J14" s="16" t="n">
        <v>30</v>
      </c>
      <c r="K14" s="18">
        <f>F14*L14</f>
        <v/>
      </c>
      <c r="L14" s="18" t="n">
        <v>4506</v>
      </c>
      <c r="M14" s="19" t="n">
        <v>0.363</v>
      </c>
    </row>
    <row r="15" ht="16" customHeight="1">
      <c r="A15" s="20" t="inlineStr">
        <is>
          <t>DR-0014</t>
        </is>
      </c>
      <c r="B15" s="20" t="inlineStr">
        <is>
          <t>Dresses</t>
        </is>
      </c>
      <c r="C15" s="21" t="inlineStr">
        <is>
          <t>Shirt Maxi</t>
        </is>
      </c>
      <c r="D15" s="20" t="inlineStr">
        <is>
          <t>Black</t>
        </is>
      </c>
      <c r="E15" s="20" t="inlineStr">
        <is>
          <t>XS–XXL</t>
        </is>
      </c>
      <c r="F15" s="20" t="n">
        <v>69</v>
      </c>
      <c r="G15" s="20" t="n">
        <v>29</v>
      </c>
      <c r="H15" s="20">
        <f>IF(G15&gt;0,ROUND(F15/G15,1),"-")</f>
        <v/>
      </c>
      <c r="I15" s="20">
        <f>IF(F15&lt;=J15,"Reorder",IF(F15&lt;=J15*1.5,"Low","OK"))</f>
        <v/>
      </c>
      <c r="J15" s="20" t="n">
        <v>25</v>
      </c>
      <c r="K15" s="22">
        <f>F15*L15</f>
        <v/>
      </c>
      <c r="L15" s="22" t="n">
        <v>5300</v>
      </c>
      <c r="M15" s="23" t="n">
        <v>0.469</v>
      </c>
    </row>
    <row r="16" ht="16" customHeight="1">
      <c r="A16" s="16" t="inlineStr">
        <is>
          <t>DR-0015</t>
        </is>
      </c>
      <c r="B16" s="16" t="inlineStr">
        <is>
          <t>Dresses</t>
        </is>
      </c>
      <c r="C16" s="17" t="inlineStr">
        <is>
          <t>Halter Dress</t>
        </is>
      </c>
      <c r="D16" s="16" t="inlineStr">
        <is>
          <t>White</t>
        </is>
      </c>
      <c r="E16" s="16" t="inlineStr">
        <is>
          <t>XS–XXL</t>
        </is>
      </c>
      <c r="F16" s="16" t="n">
        <v>58</v>
      </c>
      <c r="G16" s="16" t="n">
        <v>26</v>
      </c>
      <c r="H16" s="16">
        <f>IF(G16&gt;0,ROUND(F16/G16,1),"-")</f>
        <v/>
      </c>
      <c r="I16" s="16">
        <f>IF(F16&lt;=J16,"Reorder",IF(F16&lt;=J16*1.5,"Low","OK"))</f>
        <v/>
      </c>
      <c r="J16" s="16" t="n">
        <v>25</v>
      </c>
      <c r="K16" s="18">
        <f>F16*L16</f>
        <v/>
      </c>
      <c r="L16" s="18" t="n">
        <v>741</v>
      </c>
      <c r="M16" s="19" t="n">
        <v>0.387</v>
      </c>
    </row>
    <row r="17" ht="16" customHeight="1">
      <c r="A17" s="20" t="inlineStr">
        <is>
          <t>DR-0016</t>
        </is>
      </c>
      <c r="B17" s="20" t="inlineStr">
        <is>
          <t>Dresses</t>
        </is>
      </c>
      <c r="C17" s="21" t="inlineStr">
        <is>
          <t>Off-Shoulder</t>
        </is>
      </c>
      <c r="D17" s="20" t="inlineStr">
        <is>
          <t>Beige</t>
        </is>
      </c>
      <c r="E17" s="20" t="inlineStr">
        <is>
          <t>XS–XXL</t>
        </is>
      </c>
      <c r="F17" s="20" t="n">
        <v>54</v>
      </c>
      <c r="G17" s="20" t="n">
        <v>29</v>
      </c>
      <c r="H17" s="20">
        <f>IF(G17&gt;0,ROUND(F17/G17,1),"-")</f>
        <v/>
      </c>
      <c r="I17" s="20">
        <f>IF(F17&lt;=J17,"Reorder",IF(F17&lt;=J17*1.5,"Low","OK"))</f>
        <v/>
      </c>
      <c r="J17" s="20" t="n">
        <v>25</v>
      </c>
      <c r="K17" s="22">
        <f>F17*L17</f>
        <v/>
      </c>
      <c r="L17" s="22" t="n">
        <v>7572</v>
      </c>
      <c r="M17" s="23" t="n">
        <v>0.578</v>
      </c>
    </row>
    <row r="18" ht="16" customHeight="1">
      <c r="A18" s="16" t="inlineStr">
        <is>
          <t>DR-0017</t>
        </is>
      </c>
      <c r="B18" s="16" t="inlineStr">
        <is>
          <t>Dresses</t>
        </is>
      </c>
      <c r="C18" s="17" t="inlineStr">
        <is>
          <t>Wrap Mini</t>
        </is>
      </c>
      <c r="D18" s="16" t="inlineStr">
        <is>
          <t>Navy</t>
        </is>
      </c>
      <c r="E18" s="16" t="inlineStr">
        <is>
          <t>XS–XXL</t>
        </is>
      </c>
      <c r="F18" s="16" t="n">
        <v>167</v>
      </c>
      <c r="G18" s="16" t="n">
        <v>15</v>
      </c>
      <c r="H18" s="16">
        <f>IF(G18&gt;0,ROUND(F18/G18,1),"-")</f>
        <v/>
      </c>
      <c r="I18" s="16">
        <f>IF(F18&lt;=J18,"Reorder",IF(F18&lt;=J18*1.5,"Low","OK"))</f>
        <v/>
      </c>
      <c r="J18" s="16" t="n">
        <v>30</v>
      </c>
      <c r="K18" s="18">
        <f>F18*L18</f>
        <v/>
      </c>
      <c r="L18" s="18" t="n">
        <v>3467</v>
      </c>
      <c r="M18" s="19" t="n">
        <v>0.591</v>
      </c>
    </row>
    <row r="19" ht="16" customHeight="1">
      <c r="A19" s="20" t="inlineStr">
        <is>
          <t>DR-0018</t>
        </is>
      </c>
      <c r="B19" s="20" t="inlineStr">
        <is>
          <t>Dresses</t>
        </is>
      </c>
      <c r="C19" s="21" t="inlineStr">
        <is>
          <t>Cable Knit Dress</t>
        </is>
      </c>
      <c r="D19" s="20" t="inlineStr">
        <is>
          <t>Teal</t>
        </is>
      </c>
      <c r="E19" s="20" t="inlineStr">
        <is>
          <t>XS–XXL</t>
        </is>
      </c>
      <c r="F19" s="20" t="n">
        <v>67</v>
      </c>
      <c r="G19" s="20" t="n">
        <v>4</v>
      </c>
      <c r="H19" s="20">
        <f>IF(G19&gt;0,ROUND(F19/G19,1),"-")</f>
        <v/>
      </c>
      <c r="I19" s="20">
        <f>IF(F19&lt;=J19,"Reorder",IF(F19&lt;=J19*1.5,"Low","OK"))</f>
        <v/>
      </c>
      <c r="J19" s="20" t="n">
        <v>25</v>
      </c>
      <c r="K19" s="22">
        <f>F19*L19</f>
        <v/>
      </c>
      <c r="L19" s="22" t="n">
        <v>2350</v>
      </c>
      <c r="M19" s="23" t="n">
        <v>0.471</v>
      </c>
    </row>
    <row r="20" ht="16" customHeight="1">
      <c r="A20" s="16" t="inlineStr">
        <is>
          <t>DR-0019</t>
        </is>
      </c>
      <c r="B20" s="16" t="inlineStr">
        <is>
          <t>Dresses</t>
        </is>
      </c>
      <c r="C20" s="17" t="inlineStr">
        <is>
          <t>Sequin Dress</t>
        </is>
      </c>
      <c r="D20" s="16" t="inlineStr">
        <is>
          <t>Blush</t>
        </is>
      </c>
      <c r="E20" s="16" t="inlineStr">
        <is>
          <t>XS–XXL</t>
        </is>
      </c>
      <c r="F20" s="16" t="n">
        <v>109</v>
      </c>
      <c r="G20" s="16" t="n">
        <v>28</v>
      </c>
      <c r="H20" s="16">
        <f>IF(G20&gt;0,ROUND(F20/G20,1),"-")</f>
        <v/>
      </c>
      <c r="I20" s="16">
        <f>IF(F20&lt;=J20,"Reorder",IF(F20&lt;=J20*1.5,"Low","OK"))</f>
        <v/>
      </c>
      <c r="J20" s="16" t="n">
        <v>20</v>
      </c>
      <c r="K20" s="18">
        <f>F20*L20</f>
        <v/>
      </c>
      <c r="L20" s="18" t="n">
        <v>4876</v>
      </c>
      <c r="M20" s="19" t="n">
        <v>0.403</v>
      </c>
    </row>
    <row r="21" ht="16" customHeight="1">
      <c r="A21" s="20" t="inlineStr">
        <is>
          <t>DR-0020</t>
        </is>
      </c>
      <c r="B21" s="20" t="inlineStr">
        <is>
          <t>Dresses</t>
        </is>
      </c>
      <c r="C21" s="21" t="inlineStr">
        <is>
          <t>Velvet Dress</t>
        </is>
      </c>
      <c r="D21" s="20" t="inlineStr">
        <is>
          <t>Navy</t>
        </is>
      </c>
      <c r="E21" s="20" t="inlineStr">
        <is>
          <t>XS–XXL</t>
        </is>
      </c>
      <c r="F21" s="20" t="n">
        <v>126</v>
      </c>
      <c r="G21" s="20" t="n">
        <v>2</v>
      </c>
      <c r="H21" s="20">
        <f>IF(G21&gt;0,ROUND(F21/G21,1),"-")</f>
        <v/>
      </c>
      <c r="I21" s="20">
        <f>IF(F21&lt;=J21,"Reorder",IF(F21&lt;=J21*1.5,"Low","OK"))</f>
        <v/>
      </c>
      <c r="J21" s="20" t="n">
        <v>20</v>
      </c>
      <c r="K21" s="22">
        <f>F21*L21</f>
        <v/>
      </c>
      <c r="L21" s="22" t="n">
        <v>6168</v>
      </c>
      <c r="M21" s="23" t="n">
        <v>0.573</v>
      </c>
    </row>
    <row r="22" ht="16" customHeight="1">
      <c r="A22" s="16" t="inlineStr">
        <is>
          <t>TO-0001</t>
        </is>
      </c>
      <c r="B22" s="16" t="inlineStr">
        <is>
          <t>Tops</t>
        </is>
      </c>
      <c r="C22" s="17" t="inlineStr">
        <is>
          <t>Ribbed Tank</t>
        </is>
      </c>
      <c r="D22" s="16" t="inlineStr">
        <is>
          <t>Teal</t>
        </is>
      </c>
      <c r="E22" s="16" t="inlineStr">
        <is>
          <t>XS–XXL</t>
        </is>
      </c>
      <c r="F22" s="16" t="n">
        <v>202</v>
      </c>
      <c r="G22" s="16" t="n">
        <v>21</v>
      </c>
      <c r="H22" s="16">
        <f>IF(G22&gt;0,ROUND(F22/G22,1),"-")</f>
        <v/>
      </c>
      <c r="I22" s="16">
        <f>IF(F22&lt;=J22,"Reorder",IF(F22&lt;=J22*1.5,"Low","OK"))</f>
        <v/>
      </c>
      <c r="J22" s="16" t="n">
        <v>30</v>
      </c>
      <c r="K22" s="18">
        <f>F22*L22</f>
        <v/>
      </c>
      <c r="L22" s="18" t="n">
        <v>3666</v>
      </c>
      <c r="M22" s="19" t="n">
        <v>0.302</v>
      </c>
    </row>
    <row r="23" ht="16" customHeight="1">
      <c r="A23" s="20" t="inlineStr">
        <is>
          <t>TO-0002</t>
        </is>
      </c>
      <c r="B23" s="20" t="inlineStr">
        <is>
          <t>Tops</t>
        </is>
      </c>
      <c r="C23" s="21" t="inlineStr">
        <is>
          <t>Crop Blazer</t>
        </is>
      </c>
      <c r="D23" s="20" t="inlineStr">
        <is>
          <t>White</t>
        </is>
      </c>
      <c r="E23" s="20" t="inlineStr">
        <is>
          <t>XS–XXL</t>
        </is>
      </c>
      <c r="F23" s="20" t="n">
        <v>119</v>
      </c>
      <c r="G23" s="20" t="n">
        <v>16</v>
      </c>
      <c r="H23" s="20">
        <f>IF(G23&gt;0,ROUND(F23/G23,1),"-")</f>
        <v/>
      </c>
      <c r="I23" s="20">
        <f>IF(F23&lt;=J23,"Reorder",IF(F23&lt;=J23*1.5,"Low","OK"))</f>
        <v/>
      </c>
      <c r="J23" s="20" t="n">
        <v>15</v>
      </c>
      <c r="K23" s="22">
        <f>F23*L23</f>
        <v/>
      </c>
      <c r="L23" s="22" t="n">
        <v>2386</v>
      </c>
      <c r="M23" s="23" t="n">
        <v>0.468</v>
      </c>
    </row>
    <row r="24" ht="16" customHeight="1">
      <c r="A24" s="16" t="inlineStr">
        <is>
          <t>TO-0003</t>
        </is>
      </c>
      <c r="B24" s="16" t="inlineStr">
        <is>
          <t>Tops</t>
        </is>
      </c>
      <c r="C24" s="17" t="inlineStr">
        <is>
          <t>Linen Shirt</t>
        </is>
      </c>
      <c r="D24" s="16" t="inlineStr">
        <is>
          <t>White</t>
        </is>
      </c>
      <c r="E24" s="16" t="inlineStr">
        <is>
          <t>XS–XXL</t>
        </is>
      </c>
      <c r="F24" s="16" t="n">
        <v>174</v>
      </c>
      <c r="G24" s="16" t="n">
        <v>28</v>
      </c>
      <c r="H24" s="16">
        <f>IF(G24&gt;0,ROUND(F24/G24,1),"-")</f>
        <v/>
      </c>
      <c r="I24" s="16">
        <f>IF(F24&lt;=J24,"Reorder",IF(F24&lt;=J24*1.5,"Low","OK"))</f>
        <v/>
      </c>
      <c r="J24" s="16" t="n">
        <v>25</v>
      </c>
      <c r="K24" s="18">
        <f>F24*L24</f>
        <v/>
      </c>
      <c r="L24" s="18" t="n">
        <v>4527</v>
      </c>
      <c r="M24" s="19" t="n">
        <v>0.371</v>
      </c>
    </row>
    <row r="25" ht="16" customHeight="1">
      <c r="A25" s="20" t="inlineStr">
        <is>
          <t>TO-0004</t>
        </is>
      </c>
      <c r="B25" s="20" t="inlineStr">
        <is>
          <t>Tops</t>
        </is>
      </c>
      <c r="C25" s="21" t="inlineStr">
        <is>
          <t>Oversized Tee</t>
        </is>
      </c>
      <c r="D25" s="20" t="inlineStr">
        <is>
          <t>Blush</t>
        </is>
      </c>
      <c r="E25" s="20" t="inlineStr">
        <is>
          <t>XS–XXL</t>
        </is>
      </c>
      <c r="F25" s="20" t="n">
        <v>75</v>
      </c>
      <c r="G25" s="20" t="n">
        <v>13</v>
      </c>
      <c r="H25" s="20">
        <f>IF(G25&gt;0,ROUND(F25/G25,1),"-")</f>
        <v/>
      </c>
      <c r="I25" s="20">
        <f>IF(F25&lt;=J25,"Reorder",IF(F25&lt;=J25*1.5,"Low","OK"))</f>
        <v/>
      </c>
      <c r="J25" s="20" t="n">
        <v>25</v>
      </c>
      <c r="K25" s="22">
        <f>F25*L25</f>
        <v/>
      </c>
      <c r="L25" s="22" t="n">
        <v>1686</v>
      </c>
      <c r="M25" s="23" t="n">
        <v>0.281</v>
      </c>
    </row>
    <row r="26" ht="16" customHeight="1">
      <c r="A26" s="16" t="inlineStr">
        <is>
          <t>TO-0005</t>
        </is>
      </c>
      <c r="B26" s="16" t="inlineStr">
        <is>
          <t>Tops</t>
        </is>
      </c>
      <c r="C26" s="17" t="inlineStr">
        <is>
          <t>Corset Top</t>
        </is>
      </c>
      <c r="D26" s="16" t="inlineStr">
        <is>
          <t>Blush</t>
        </is>
      </c>
      <c r="E26" s="16" t="inlineStr">
        <is>
          <t>XS–XXL</t>
        </is>
      </c>
      <c r="F26" s="16" t="n">
        <v>195</v>
      </c>
      <c r="G26" s="16" t="n">
        <v>5</v>
      </c>
      <c r="H26" s="16">
        <f>IF(G26&gt;0,ROUND(F26/G26,1),"-")</f>
        <v/>
      </c>
      <c r="I26" s="16">
        <f>IF(F26&lt;=J26,"Reorder",IF(F26&lt;=J26*1.5,"Low","OK"))</f>
        <v/>
      </c>
      <c r="J26" s="16" t="n">
        <v>25</v>
      </c>
      <c r="K26" s="18">
        <f>F26*L26</f>
        <v/>
      </c>
      <c r="L26" s="18" t="n">
        <v>4308</v>
      </c>
      <c r="M26" s="19" t="n">
        <v>0.316</v>
      </c>
    </row>
    <row r="27" ht="16" customHeight="1">
      <c r="A27" s="20" t="inlineStr">
        <is>
          <t>TO-0006</t>
        </is>
      </c>
      <c r="B27" s="20" t="inlineStr">
        <is>
          <t>Tops</t>
        </is>
      </c>
      <c r="C27" s="21" t="inlineStr">
        <is>
          <t>Sheer Blouse</t>
        </is>
      </c>
      <c r="D27" s="20" t="inlineStr">
        <is>
          <t>Blush</t>
        </is>
      </c>
      <c r="E27" s="20" t="inlineStr">
        <is>
          <t>XS–XXL</t>
        </is>
      </c>
      <c r="F27" s="20" t="n">
        <v>155</v>
      </c>
      <c r="G27" s="20" t="n">
        <v>6</v>
      </c>
      <c r="H27" s="20">
        <f>IF(G27&gt;0,ROUND(F27/G27,1),"-")</f>
        <v/>
      </c>
      <c r="I27" s="20">
        <f>IF(F27&lt;=J27,"Reorder",IF(F27&lt;=J27*1.5,"Low","OK"))</f>
        <v/>
      </c>
      <c r="J27" s="20" t="n">
        <v>40</v>
      </c>
      <c r="K27" s="22">
        <f>F27*L27</f>
        <v/>
      </c>
      <c r="L27" s="22" t="n">
        <v>1646</v>
      </c>
      <c r="M27" s="23" t="n">
        <v>0.539</v>
      </c>
    </row>
    <row r="28" ht="16" customHeight="1">
      <c r="A28" s="16" t="inlineStr">
        <is>
          <t>TO-0007</t>
        </is>
      </c>
      <c r="B28" s="16" t="inlineStr">
        <is>
          <t>Tops</t>
        </is>
      </c>
      <c r="C28" s="17" t="inlineStr">
        <is>
          <t>Peplum Top</t>
        </is>
      </c>
      <c r="D28" s="16" t="inlineStr">
        <is>
          <t>Rust</t>
        </is>
      </c>
      <c r="E28" s="16" t="inlineStr">
        <is>
          <t>XS–XXL</t>
        </is>
      </c>
      <c r="F28" s="16" t="n">
        <v>235</v>
      </c>
      <c r="G28" s="16" t="n">
        <v>0</v>
      </c>
      <c r="H28" s="16">
        <f>IF(G28&gt;0,ROUND(F28/G28,1),"-")</f>
        <v/>
      </c>
      <c r="I28" s="16">
        <f>IF(F28&lt;=J28,"Reorder",IF(F28&lt;=J28*1.5,"Low","OK"))</f>
        <v/>
      </c>
      <c r="J28" s="16" t="n">
        <v>15</v>
      </c>
      <c r="K28" s="18">
        <f>F28*L28</f>
        <v/>
      </c>
      <c r="L28" s="18" t="n">
        <v>4992</v>
      </c>
      <c r="M28" s="19" t="n">
        <v>0.446</v>
      </c>
    </row>
    <row r="29" ht="16" customHeight="1">
      <c r="A29" s="20" t="inlineStr">
        <is>
          <t>TO-0008</t>
        </is>
      </c>
      <c r="B29" s="20" t="inlineStr">
        <is>
          <t>Tops</t>
        </is>
      </c>
      <c r="C29" s="21" t="inlineStr">
        <is>
          <t>Fitted Tee</t>
        </is>
      </c>
      <c r="D29" s="20" t="inlineStr">
        <is>
          <t>Teal</t>
        </is>
      </c>
      <c r="E29" s="20" t="inlineStr">
        <is>
          <t>XS–XXL</t>
        </is>
      </c>
      <c r="F29" s="20" t="n">
        <v>224</v>
      </c>
      <c r="G29" s="20" t="n">
        <v>26</v>
      </c>
      <c r="H29" s="20">
        <f>IF(G29&gt;0,ROUND(F29/G29,1),"-")</f>
        <v/>
      </c>
      <c r="I29" s="20">
        <f>IF(F29&lt;=J29,"Reorder",IF(F29&lt;=J29*1.5,"Low","OK"))</f>
        <v/>
      </c>
      <c r="J29" s="20" t="n">
        <v>20</v>
      </c>
      <c r="K29" s="22">
        <f>F29*L29</f>
        <v/>
      </c>
      <c r="L29" s="22" t="n">
        <v>6551</v>
      </c>
      <c r="M29" s="23" t="n">
        <v>0.361</v>
      </c>
    </row>
    <row r="30" ht="16" customHeight="1">
      <c r="A30" s="16" t="inlineStr">
        <is>
          <t>TO-0009</t>
        </is>
      </c>
      <c r="B30" s="16" t="inlineStr">
        <is>
          <t>Tops</t>
        </is>
      </c>
      <c r="C30" s="17" t="inlineStr">
        <is>
          <t>Knit Cami</t>
        </is>
      </c>
      <c r="D30" s="16" t="inlineStr">
        <is>
          <t>Blush</t>
        </is>
      </c>
      <c r="E30" s="16" t="inlineStr">
        <is>
          <t>XS–XXL</t>
        </is>
      </c>
      <c r="F30" s="16" t="n">
        <v>242</v>
      </c>
      <c r="G30" s="16" t="n">
        <v>2</v>
      </c>
      <c r="H30" s="16">
        <f>IF(G30&gt;0,ROUND(F30/G30,1),"-")</f>
        <v/>
      </c>
      <c r="I30" s="16">
        <f>IF(F30&lt;=J30,"Reorder",IF(F30&lt;=J30*1.5,"Low","OK"))</f>
        <v/>
      </c>
      <c r="J30" s="16" t="n">
        <v>15</v>
      </c>
      <c r="K30" s="18">
        <f>F30*L30</f>
        <v/>
      </c>
      <c r="L30" s="18" t="n">
        <v>1142</v>
      </c>
      <c r="M30" s="19" t="n">
        <v>0.445</v>
      </c>
    </row>
    <row r="31" ht="16" customHeight="1">
      <c r="A31" s="20" t="inlineStr">
        <is>
          <t>TO-0010</t>
        </is>
      </c>
      <c r="B31" s="20" t="inlineStr">
        <is>
          <t>Tops</t>
        </is>
      </c>
      <c r="C31" s="21" t="inlineStr">
        <is>
          <t>Bralette</t>
        </is>
      </c>
      <c r="D31" s="20" t="inlineStr">
        <is>
          <t>Navy</t>
        </is>
      </c>
      <c r="E31" s="20" t="inlineStr">
        <is>
          <t>XS–XXL</t>
        </is>
      </c>
      <c r="F31" s="20" t="n">
        <v>196</v>
      </c>
      <c r="G31" s="20" t="n">
        <v>4</v>
      </c>
      <c r="H31" s="20">
        <f>IF(G31&gt;0,ROUND(F31/G31,1),"-")</f>
        <v/>
      </c>
      <c r="I31" s="20">
        <f>IF(F31&lt;=J31,"Reorder",IF(F31&lt;=J31*1.5,"Low","OK"))</f>
        <v/>
      </c>
      <c r="J31" s="20" t="n">
        <v>40</v>
      </c>
      <c r="K31" s="22">
        <f>F31*L31</f>
        <v/>
      </c>
      <c r="L31" s="22" t="n">
        <v>1463</v>
      </c>
      <c r="M31" s="23" t="n">
        <v>0.442</v>
      </c>
    </row>
    <row r="32" ht="16" customHeight="1">
      <c r="A32" s="16" t="inlineStr">
        <is>
          <t>TO-0011</t>
        </is>
      </c>
      <c r="B32" s="16" t="inlineStr">
        <is>
          <t>Tops</t>
        </is>
      </c>
      <c r="C32" s="17" t="inlineStr">
        <is>
          <t>Tube Top</t>
        </is>
      </c>
      <c r="D32" s="16" t="inlineStr">
        <is>
          <t>Blush</t>
        </is>
      </c>
      <c r="E32" s="16" t="inlineStr">
        <is>
          <t>XS–XXL</t>
        </is>
      </c>
      <c r="F32" s="16" t="n">
        <v>67</v>
      </c>
      <c r="G32" s="16" t="n">
        <v>16</v>
      </c>
      <c r="H32" s="16">
        <f>IF(G32&gt;0,ROUND(F32/G32,1),"-")</f>
        <v/>
      </c>
      <c r="I32" s="16">
        <f>IF(F32&lt;=J32,"Reorder",IF(F32&lt;=J32*1.5,"Low","OK"))</f>
        <v/>
      </c>
      <c r="J32" s="16" t="n">
        <v>20</v>
      </c>
      <c r="K32" s="18">
        <f>F32*L32</f>
        <v/>
      </c>
      <c r="L32" s="18" t="n">
        <v>7043</v>
      </c>
      <c r="M32" s="19" t="n">
        <v>0.424</v>
      </c>
    </row>
    <row r="33" ht="16" customHeight="1">
      <c r="A33" s="20" t="inlineStr">
        <is>
          <t>TO-0012</t>
        </is>
      </c>
      <c r="B33" s="20" t="inlineStr">
        <is>
          <t>Tops</t>
        </is>
      </c>
      <c r="C33" s="21" t="inlineStr">
        <is>
          <t>Off-Shoulder Top</t>
        </is>
      </c>
      <c r="D33" s="20" t="inlineStr">
        <is>
          <t>Rust</t>
        </is>
      </c>
      <c r="E33" s="20" t="inlineStr">
        <is>
          <t>XS–XXL</t>
        </is>
      </c>
      <c r="F33" s="20" t="n">
        <v>193</v>
      </c>
      <c r="G33" s="20" t="n">
        <v>23</v>
      </c>
      <c r="H33" s="20">
        <f>IF(G33&gt;0,ROUND(F33/G33,1),"-")</f>
        <v/>
      </c>
      <c r="I33" s="20">
        <f>IF(F33&lt;=J33,"Reorder",IF(F33&lt;=J33*1.5,"Low","OK"))</f>
        <v/>
      </c>
      <c r="J33" s="20" t="n">
        <v>30</v>
      </c>
      <c r="K33" s="22">
        <f>F33*L33</f>
        <v/>
      </c>
      <c r="L33" s="22" t="n">
        <v>5674</v>
      </c>
      <c r="M33" s="23" t="n">
        <v>0.522</v>
      </c>
    </row>
    <row r="34" ht="16" customHeight="1">
      <c r="A34" s="16" t="inlineStr">
        <is>
          <t>TO-0013</t>
        </is>
      </c>
      <c r="B34" s="16" t="inlineStr">
        <is>
          <t>Tops</t>
        </is>
      </c>
      <c r="C34" s="17" t="inlineStr">
        <is>
          <t>Wrap Top</t>
        </is>
      </c>
      <c r="D34" s="16" t="inlineStr">
        <is>
          <t>White</t>
        </is>
      </c>
      <c r="E34" s="16" t="inlineStr">
        <is>
          <t>XS–XXL</t>
        </is>
      </c>
      <c r="F34" s="16" t="n">
        <v>112</v>
      </c>
      <c r="G34" s="16" t="n">
        <v>28</v>
      </c>
      <c r="H34" s="16">
        <f>IF(G34&gt;0,ROUND(F34/G34,1),"-")</f>
        <v/>
      </c>
      <c r="I34" s="16">
        <f>IF(F34&lt;=J34,"Reorder",IF(F34&lt;=J34*1.5,"Low","OK"))</f>
        <v/>
      </c>
      <c r="J34" s="16" t="n">
        <v>20</v>
      </c>
      <c r="K34" s="18">
        <f>F34*L34</f>
        <v/>
      </c>
      <c r="L34" s="18" t="n">
        <v>4382</v>
      </c>
      <c r="M34" s="19" t="n">
        <v>0.321</v>
      </c>
    </row>
    <row r="35" ht="16" customHeight="1">
      <c r="A35" s="20" t="inlineStr">
        <is>
          <t>TO-0014</t>
        </is>
      </c>
      <c r="B35" s="20" t="inlineStr">
        <is>
          <t>Tops</t>
        </is>
      </c>
      <c r="C35" s="21" t="inlineStr">
        <is>
          <t>Ruffle Blouse</t>
        </is>
      </c>
      <c r="D35" s="20" t="inlineStr">
        <is>
          <t>Black</t>
        </is>
      </c>
      <c r="E35" s="20" t="inlineStr">
        <is>
          <t>XS–XXL</t>
        </is>
      </c>
      <c r="F35" s="20" t="n">
        <v>86</v>
      </c>
      <c r="G35" s="20" t="n">
        <v>0</v>
      </c>
      <c r="H35" s="20">
        <f>IF(G35&gt;0,ROUND(F35/G35,1),"-")</f>
        <v/>
      </c>
      <c r="I35" s="20">
        <f>IF(F35&lt;=J35,"Reorder",IF(F35&lt;=J35*1.5,"Low","OK"))</f>
        <v/>
      </c>
      <c r="J35" s="20" t="n">
        <v>20</v>
      </c>
      <c r="K35" s="22">
        <f>F35*L35</f>
        <v/>
      </c>
      <c r="L35" s="22" t="n">
        <v>4912</v>
      </c>
      <c r="M35" s="23" t="n">
        <v>0.358</v>
      </c>
    </row>
    <row r="36" ht="16" customHeight="1">
      <c r="A36" s="16" t="inlineStr">
        <is>
          <t>TO-0015</t>
        </is>
      </c>
      <c r="B36" s="16" t="inlineStr">
        <is>
          <t>Tops</t>
        </is>
      </c>
      <c r="C36" s="17" t="inlineStr">
        <is>
          <t>Utility Top</t>
        </is>
      </c>
      <c r="D36" s="16" t="inlineStr">
        <is>
          <t>Rust</t>
        </is>
      </c>
      <c r="E36" s="16" t="inlineStr">
        <is>
          <t>XS–XXL</t>
        </is>
      </c>
      <c r="F36" s="16" t="n">
        <v>18</v>
      </c>
      <c r="G36" s="16" t="n">
        <v>22</v>
      </c>
      <c r="H36" s="16">
        <f>IF(G36&gt;0,ROUND(F36/G36,1),"-")</f>
        <v/>
      </c>
      <c r="I36" s="16">
        <f>IF(F36&lt;=J36,"Reorder",IF(F36&lt;=J36*1.5,"Low","OK"))</f>
        <v/>
      </c>
      <c r="J36" s="16" t="n">
        <v>15</v>
      </c>
      <c r="K36" s="18">
        <f>F36*L36</f>
        <v/>
      </c>
      <c r="L36" s="18" t="n">
        <v>5233</v>
      </c>
      <c r="M36" s="19" t="n">
        <v>0.358</v>
      </c>
    </row>
    <row r="37" ht="16" customHeight="1">
      <c r="A37" s="20" t="inlineStr">
        <is>
          <t>TO-0016</t>
        </is>
      </c>
      <c r="B37" s="20" t="inlineStr">
        <is>
          <t>Tops</t>
        </is>
      </c>
      <c r="C37" s="21" t="inlineStr">
        <is>
          <t>Bodysuit</t>
        </is>
      </c>
      <c r="D37" s="20" t="inlineStr">
        <is>
          <t>Blush</t>
        </is>
      </c>
      <c r="E37" s="20" t="inlineStr">
        <is>
          <t>XS–XXL</t>
        </is>
      </c>
      <c r="F37" s="20" t="n">
        <v>18</v>
      </c>
      <c r="G37" s="20" t="n">
        <v>16</v>
      </c>
      <c r="H37" s="20">
        <f>IF(G37&gt;0,ROUND(F37/G37,1),"-")</f>
        <v/>
      </c>
      <c r="I37" s="20">
        <f>IF(F37&lt;=J37,"Reorder",IF(F37&lt;=J37*1.5,"Low","OK"))</f>
        <v/>
      </c>
      <c r="J37" s="20" t="n">
        <v>20</v>
      </c>
      <c r="K37" s="22">
        <f>F37*L37</f>
        <v/>
      </c>
      <c r="L37" s="22" t="n">
        <v>2285</v>
      </c>
      <c r="M37" s="23" t="n">
        <v>0.507</v>
      </c>
    </row>
    <row r="38" ht="16" customHeight="1">
      <c r="A38" s="16" t="inlineStr">
        <is>
          <t>TO-0017</t>
        </is>
      </c>
      <c r="B38" s="16" t="inlineStr">
        <is>
          <t>Tops</t>
        </is>
      </c>
      <c r="C38" s="17" t="inlineStr">
        <is>
          <t>Sleeveless Polo</t>
        </is>
      </c>
      <c r="D38" s="16" t="inlineStr">
        <is>
          <t>Beige</t>
        </is>
      </c>
      <c r="E38" s="16" t="inlineStr">
        <is>
          <t>XS–XXL</t>
        </is>
      </c>
      <c r="F38" s="16" t="n">
        <v>33</v>
      </c>
      <c r="G38" s="16" t="n">
        <v>23</v>
      </c>
      <c r="H38" s="16">
        <f>IF(G38&gt;0,ROUND(F38/G38,1),"-")</f>
        <v/>
      </c>
      <c r="I38" s="16">
        <f>IF(F38&lt;=J38,"Reorder",IF(F38&lt;=J38*1.5,"Low","OK"))</f>
        <v/>
      </c>
      <c r="J38" s="16" t="n">
        <v>30</v>
      </c>
      <c r="K38" s="18">
        <f>F38*L38</f>
        <v/>
      </c>
      <c r="L38" s="18" t="n">
        <v>7516</v>
      </c>
      <c r="M38" s="19" t="n">
        <v>0.474</v>
      </c>
    </row>
    <row r="39" ht="16" customHeight="1">
      <c r="A39" s="20" t="inlineStr">
        <is>
          <t>TO-0018</t>
        </is>
      </c>
      <c r="B39" s="20" t="inlineStr">
        <is>
          <t>Tops</t>
        </is>
      </c>
      <c r="C39" s="21" t="inlineStr">
        <is>
          <t>Shirt Blouse</t>
        </is>
      </c>
      <c r="D39" s="20" t="inlineStr">
        <is>
          <t>Sage</t>
        </is>
      </c>
      <c r="E39" s="20" t="inlineStr">
        <is>
          <t>XS–XXL</t>
        </is>
      </c>
      <c r="F39" s="20" t="n">
        <v>200</v>
      </c>
      <c r="G39" s="20" t="n">
        <v>15</v>
      </c>
      <c r="H39" s="20">
        <f>IF(G39&gt;0,ROUND(F39/G39,1),"-")</f>
        <v/>
      </c>
      <c r="I39" s="20">
        <f>IF(F39&lt;=J39,"Reorder",IF(F39&lt;=J39*1.5,"Low","OK"))</f>
        <v/>
      </c>
      <c r="J39" s="20" t="n">
        <v>15</v>
      </c>
      <c r="K39" s="22">
        <f>F39*L39</f>
        <v/>
      </c>
      <c r="L39" s="22" t="n">
        <v>6556</v>
      </c>
      <c r="M39" s="23" t="n">
        <v>0.345</v>
      </c>
    </row>
    <row r="40" ht="16" customHeight="1">
      <c r="A40" s="16" t="inlineStr">
        <is>
          <t>TO-0019</t>
        </is>
      </c>
      <c r="B40" s="16" t="inlineStr">
        <is>
          <t>Tops</t>
        </is>
      </c>
      <c r="C40" s="17" t="inlineStr">
        <is>
          <t>Vest Top</t>
        </is>
      </c>
      <c r="D40" s="16" t="inlineStr">
        <is>
          <t>White</t>
        </is>
      </c>
      <c r="E40" s="16" t="inlineStr">
        <is>
          <t>XS–XXL</t>
        </is>
      </c>
      <c r="F40" s="16" t="n">
        <v>90</v>
      </c>
      <c r="G40" s="16" t="n">
        <v>13</v>
      </c>
      <c r="H40" s="16">
        <f>IF(G40&gt;0,ROUND(F40/G40,1),"-")</f>
        <v/>
      </c>
      <c r="I40" s="16">
        <f>IF(F40&lt;=J40,"Reorder",IF(F40&lt;=J40*1.5,"Low","OK"))</f>
        <v/>
      </c>
      <c r="J40" s="16" t="n">
        <v>15</v>
      </c>
      <c r="K40" s="18">
        <f>F40*L40</f>
        <v/>
      </c>
      <c r="L40" s="18" t="n">
        <v>3583</v>
      </c>
      <c r="M40" s="19" t="n">
        <v>0.574</v>
      </c>
    </row>
    <row r="41" ht="16" customHeight="1">
      <c r="A41" s="20" t="inlineStr">
        <is>
          <t>TO-0020</t>
        </is>
      </c>
      <c r="B41" s="20" t="inlineStr">
        <is>
          <t>Tops</t>
        </is>
      </c>
      <c r="C41" s="21" t="inlineStr">
        <is>
          <t>Embroidered Top</t>
        </is>
      </c>
      <c r="D41" s="20" t="inlineStr">
        <is>
          <t>Beige</t>
        </is>
      </c>
      <c r="E41" s="20" t="inlineStr">
        <is>
          <t>XS–XXL</t>
        </is>
      </c>
      <c r="F41" s="20" t="n">
        <v>15</v>
      </c>
      <c r="G41" s="20" t="n">
        <v>12</v>
      </c>
      <c r="H41" s="20">
        <f>IF(G41&gt;0,ROUND(F41/G41,1),"-")</f>
        <v/>
      </c>
      <c r="I41" s="20">
        <f>IF(F41&lt;=J41,"Reorder",IF(F41&lt;=J41*1.5,"Low","OK"))</f>
        <v/>
      </c>
      <c r="J41" s="20" t="n">
        <v>15</v>
      </c>
      <c r="K41" s="22">
        <f>F41*L41</f>
        <v/>
      </c>
      <c r="L41" s="22" t="n">
        <v>5962</v>
      </c>
      <c r="M41" s="23" t="n">
        <v>0.552</v>
      </c>
    </row>
    <row r="42" ht="16" customHeight="1">
      <c r="A42" s="16" t="inlineStr">
        <is>
          <t>DE-0001</t>
        </is>
      </c>
      <c r="B42" s="16" t="inlineStr">
        <is>
          <t>Denim</t>
        </is>
      </c>
      <c r="C42" s="17" t="inlineStr">
        <is>
          <t>Wide Leg Jean</t>
        </is>
      </c>
      <c r="D42" s="16" t="inlineStr">
        <is>
          <t>Olive</t>
        </is>
      </c>
      <c r="E42" s="16" t="inlineStr">
        <is>
          <t>XS–XXL</t>
        </is>
      </c>
      <c r="F42" s="16" t="n">
        <v>49</v>
      </c>
      <c r="G42" s="16" t="n">
        <v>6</v>
      </c>
      <c r="H42" s="16">
        <f>IF(G42&gt;0,ROUND(F42/G42,1),"-")</f>
        <v/>
      </c>
      <c r="I42" s="16">
        <f>IF(F42&lt;=J42,"Reorder",IF(F42&lt;=J42*1.5,"Low","OK"))</f>
        <v/>
      </c>
      <c r="J42" s="16" t="n">
        <v>20</v>
      </c>
      <c r="K42" s="18">
        <f>F42*L42</f>
        <v/>
      </c>
      <c r="L42" s="18" t="n">
        <v>4522</v>
      </c>
      <c r="M42" s="19" t="n">
        <v>0.328</v>
      </c>
    </row>
    <row r="43" ht="16" customHeight="1">
      <c r="A43" s="20" t="inlineStr">
        <is>
          <t>DE-0002</t>
        </is>
      </c>
      <c r="B43" s="20" t="inlineStr">
        <is>
          <t>Denim</t>
        </is>
      </c>
      <c r="C43" s="21" t="inlineStr">
        <is>
          <t>Straight Cut</t>
        </is>
      </c>
      <c r="D43" s="20" t="inlineStr">
        <is>
          <t>White</t>
        </is>
      </c>
      <c r="E43" s="20" t="inlineStr">
        <is>
          <t>XS–XXL</t>
        </is>
      </c>
      <c r="F43" s="20" t="n">
        <v>118</v>
      </c>
      <c r="G43" s="20" t="n">
        <v>7</v>
      </c>
      <c r="H43" s="20">
        <f>IF(G43&gt;0,ROUND(F43/G43,1),"-")</f>
        <v/>
      </c>
      <c r="I43" s="20">
        <f>IF(F43&lt;=J43,"Reorder",IF(F43&lt;=J43*1.5,"Low","OK"))</f>
        <v/>
      </c>
      <c r="J43" s="20" t="n">
        <v>40</v>
      </c>
      <c r="K43" s="22">
        <f>F43*L43</f>
        <v/>
      </c>
      <c r="L43" s="22" t="n">
        <v>7059</v>
      </c>
      <c r="M43" s="23" t="n">
        <v>0.306</v>
      </c>
    </row>
    <row r="44" ht="16" customHeight="1">
      <c r="A44" s="16" t="inlineStr">
        <is>
          <t>DE-0003</t>
        </is>
      </c>
      <c r="B44" s="16" t="inlineStr">
        <is>
          <t>Denim</t>
        </is>
      </c>
      <c r="C44" s="17" t="inlineStr">
        <is>
          <t>Skinny Jean</t>
        </is>
      </c>
      <c r="D44" s="16" t="inlineStr">
        <is>
          <t>Beige</t>
        </is>
      </c>
      <c r="E44" s="16" t="inlineStr">
        <is>
          <t>XS–XXL</t>
        </is>
      </c>
      <c r="F44" s="16" t="n">
        <v>12</v>
      </c>
      <c r="G44" s="16" t="n">
        <v>20</v>
      </c>
      <c r="H44" s="16">
        <f>IF(G44&gt;0,ROUND(F44/G44,1),"-")</f>
        <v/>
      </c>
      <c r="I44" s="16">
        <f>IF(F44&lt;=J44,"Reorder",IF(F44&lt;=J44*1.5,"Low","OK"))</f>
        <v/>
      </c>
      <c r="J44" s="16" t="n">
        <v>15</v>
      </c>
      <c r="K44" s="18">
        <f>F44*L44</f>
        <v/>
      </c>
      <c r="L44" s="18" t="n">
        <v>7995</v>
      </c>
      <c r="M44" s="19" t="n">
        <v>0.5639999999999999</v>
      </c>
    </row>
    <row r="45" ht="16" customHeight="1">
      <c r="A45" s="20" t="inlineStr">
        <is>
          <t>DE-0004</t>
        </is>
      </c>
      <c r="B45" s="20" t="inlineStr">
        <is>
          <t>Denim</t>
        </is>
      </c>
      <c r="C45" s="21" t="inlineStr">
        <is>
          <t>Boyfriend Jean</t>
        </is>
      </c>
      <c r="D45" s="20" t="inlineStr">
        <is>
          <t>Black</t>
        </is>
      </c>
      <c r="E45" s="20" t="inlineStr">
        <is>
          <t>XS–XXL</t>
        </is>
      </c>
      <c r="F45" s="20" t="n">
        <v>42</v>
      </c>
      <c r="G45" s="20" t="n">
        <v>13</v>
      </c>
      <c r="H45" s="20">
        <f>IF(G45&gt;0,ROUND(F45/G45,1),"-")</f>
        <v/>
      </c>
      <c r="I45" s="20">
        <f>IF(F45&lt;=J45,"Reorder",IF(F45&lt;=J45*1.5,"Low","OK"))</f>
        <v/>
      </c>
      <c r="J45" s="20" t="n">
        <v>30</v>
      </c>
      <c r="K45" s="22">
        <f>F45*L45</f>
        <v/>
      </c>
      <c r="L45" s="22" t="n">
        <v>4142</v>
      </c>
      <c r="M45" s="23" t="n">
        <v>0.353</v>
      </c>
    </row>
    <row r="46" ht="16" customHeight="1">
      <c r="A46" s="16" t="inlineStr">
        <is>
          <t>DE-0005</t>
        </is>
      </c>
      <c r="B46" s="16" t="inlineStr">
        <is>
          <t>Denim</t>
        </is>
      </c>
      <c r="C46" s="17" t="inlineStr">
        <is>
          <t>Mom Jean</t>
        </is>
      </c>
      <c r="D46" s="16" t="inlineStr">
        <is>
          <t>Olive</t>
        </is>
      </c>
      <c r="E46" s="16" t="inlineStr">
        <is>
          <t>XS–XXL</t>
        </is>
      </c>
      <c r="F46" s="16" t="n">
        <v>42</v>
      </c>
      <c r="G46" s="16" t="n">
        <v>12</v>
      </c>
      <c r="H46" s="16">
        <f>IF(G46&gt;0,ROUND(F46/G46,1),"-")</f>
        <v/>
      </c>
      <c r="I46" s="16">
        <f>IF(F46&lt;=J46,"Reorder",IF(F46&lt;=J46*1.5,"Low","OK"))</f>
        <v/>
      </c>
      <c r="J46" s="16" t="n">
        <v>30</v>
      </c>
      <c r="K46" s="18">
        <f>F46*L46</f>
        <v/>
      </c>
      <c r="L46" s="18" t="n">
        <v>516</v>
      </c>
      <c r="M46" s="19" t="n">
        <v>0.413</v>
      </c>
    </row>
    <row r="47" ht="16" customHeight="1">
      <c r="A47" s="20" t="inlineStr">
        <is>
          <t>DE-0006</t>
        </is>
      </c>
      <c r="B47" s="20" t="inlineStr">
        <is>
          <t>Denim</t>
        </is>
      </c>
      <c r="C47" s="21" t="inlineStr">
        <is>
          <t>Flared Denim</t>
        </is>
      </c>
      <c r="D47" s="20" t="inlineStr">
        <is>
          <t>Camel</t>
        </is>
      </c>
      <c r="E47" s="20" t="inlineStr">
        <is>
          <t>XS–XXL</t>
        </is>
      </c>
      <c r="F47" s="20" t="n">
        <v>108</v>
      </c>
      <c r="G47" s="20" t="n">
        <v>22</v>
      </c>
      <c r="H47" s="20">
        <f>IF(G47&gt;0,ROUND(F47/G47,1),"-")</f>
        <v/>
      </c>
      <c r="I47" s="20">
        <f>IF(F47&lt;=J47,"Reorder",IF(F47&lt;=J47*1.5,"Low","OK"))</f>
        <v/>
      </c>
      <c r="J47" s="20" t="n">
        <v>40</v>
      </c>
      <c r="K47" s="22">
        <f>F47*L47</f>
        <v/>
      </c>
      <c r="L47" s="22" t="n">
        <v>7680</v>
      </c>
      <c r="M47" s="23" t="n">
        <v>0.618</v>
      </c>
    </row>
    <row r="48" ht="16" customHeight="1">
      <c r="A48" s="16" t="inlineStr">
        <is>
          <t>DE-0007</t>
        </is>
      </c>
      <c r="B48" s="16" t="inlineStr">
        <is>
          <t>Denim</t>
        </is>
      </c>
      <c r="C48" s="17" t="inlineStr">
        <is>
          <t>Cargo Jean</t>
        </is>
      </c>
      <c r="D48" s="16" t="inlineStr">
        <is>
          <t>Blush</t>
        </is>
      </c>
      <c r="E48" s="16" t="inlineStr">
        <is>
          <t>XS–XXL</t>
        </is>
      </c>
      <c r="F48" s="16" t="n">
        <v>39</v>
      </c>
      <c r="G48" s="16" t="n">
        <v>6</v>
      </c>
      <c r="H48" s="16">
        <f>IF(G48&gt;0,ROUND(F48/G48,1),"-")</f>
        <v/>
      </c>
      <c r="I48" s="16">
        <f>IF(F48&lt;=J48,"Reorder",IF(F48&lt;=J48*1.5,"Low","OK"))</f>
        <v/>
      </c>
      <c r="J48" s="16" t="n">
        <v>40</v>
      </c>
      <c r="K48" s="18">
        <f>F48*L48</f>
        <v/>
      </c>
      <c r="L48" s="18" t="n">
        <v>2725</v>
      </c>
      <c r="M48" s="19" t="n">
        <v>0.609</v>
      </c>
    </row>
    <row r="49" ht="16" customHeight="1">
      <c r="A49" s="20" t="inlineStr">
        <is>
          <t>DE-0008</t>
        </is>
      </c>
      <c r="B49" s="20" t="inlineStr">
        <is>
          <t>Denim</t>
        </is>
      </c>
      <c r="C49" s="21" t="inlineStr">
        <is>
          <t>Cropped Jean</t>
        </is>
      </c>
      <c r="D49" s="20" t="inlineStr">
        <is>
          <t>Blush</t>
        </is>
      </c>
      <c r="E49" s="20" t="inlineStr">
        <is>
          <t>XS–XXL</t>
        </is>
      </c>
      <c r="F49" s="20" t="n">
        <v>15</v>
      </c>
      <c r="G49" s="20" t="n">
        <v>23</v>
      </c>
      <c r="H49" s="20">
        <f>IF(G49&gt;0,ROUND(F49/G49,1),"-")</f>
        <v/>
      </c>
      <c r="I49" s="20">
        <f>IF(F49&lt;=J49,"Reorder",IF(F49&lt;=J49*1.5,"Low","OK"))</f>
        <v/>
      </c>
      <c r="J49" s="20" t="n">
        <v>30</v>
      </c>
      <c r="K49" s="22">
        <f>F49*L49</f>
        <v/>
      </c>
      <c r="L49" s="22" t="n">
        <v>2852</v>
      </c>
      <c r="M49" s="23" t="n">
        <v>0.297</v>
      </c>
    </row>
    <row r="50" ht="16" customHeight="1">
      <c r="A50" s="16" t="inlineStr">
        <is>
          <t>DE-0009</t>
        </is>
      </c>
      <c r="B50" s="16" t="inlineStr">
        <is>
          <t>Denim</t>
        </is>
      </c>
      <c r="C50" s="17" t="inlineStr">
        <is>
          <t>Dark Wash</t>
        </is>
      </c>
      <c r="D50" s="16" t="inlineStr">
        <is>
          <t>White</t>
        </is>
      </c>
      <c r="E50" s="16" t="inlineStr">
        <is>
          <t>XS–XXL</t>
        </is>
      </c>
      <c r="F50" s="16" t="n">
        <v>235</v>
      </c>
      <c r="G50" s="16" t="n">
        <v>27</v>
      </c>
      <c r="H50" s="16">
        <f>IF(G50&gt;0,ROUND(F50/G50,1),"-")</f>
        <v/>
      </c>
      <c r="I50" s="16">
        <f>IF(F50&lt;=J50,"Reorder",IF(F50&lt;=J50*1.5,"Low","OK"))</f>
        <v/>
      </c>
      <c r="J50" s="16" t="n">
        <v>40</v>
      </c>
      <c r="K50" s="18">
        <f>F50*L50</f>
        <v/>
      </c>
      <c r="L50" s="18" t="n">
        <v>4483</v>
      </c>
      <c r="M50" s="19" t="n">
        <v>0.299</v>
      </c>
    </row>
    <row r="51" ht="16" customHeight="1">
      <c r="A51" s="20" t="inlineStr">
        <is>
          <t>DE-0010</t>
        </is>
      </c>
      <c r="B51" s="20" t="inlineStr">
        <is>
          <t>Denim</t>
        </is>
      </c>
      <c r="C51" s="21" t="inlineStr">
        <is>
          <t>Light Wash</t>
        </is>
      </c>
      <c r="D51" s="20" t="inlineStr">
        <is>
          <t>Sage</t>
        </is>
      </c>
      <c r="E51" s="20" t="inlineStr">
        <is>
          <t>XS–XXL</t>
        </is>
      </c>
      <c r="F51" s="20" t="n">
        <v>217</v>
      </c>
      <c r="G51" s="20" t="n">
        <v>5</v>
      </c>
      <c r="H51" s="20">
        <f>IF(G51&gt;0,ROUND(F51/G51,1),"-")</f>
        <v/>
      </c>
      <c r="I51" s="20">
        <f>IF(F51&lt;=J51,"Reorder",IF(F51&lt;=J51*1.5,"Low","OK"))</f>
        <v/>
      </c>
      <c r="J51" s="20" t="n">
        <v>20</v>
      </c>
      <c r="K51" s="22">
        <f>F51*L51</f>
        <v/>
      </c>
      <c r="L51" s="22" t="n">
        <v>1014</v>
      </c>
      <c r="M51" s="23" t="n">
        <v>0.303</v>
      </c>
    </row>
    <row r="52" ht="16" customHeight="1">
      <c r="A52" s="16" t="inlineStr">
        <is>
          <t>DE-0011</t>
        </is>
      </c>
      <c r="B52" s="16" t="inlineStr">
        <is>
          <t>Denim</t>
        </is>
      </c>
      <c r="C52" s="17" t="inlineStr">
        <is>
          <t>Distressed</t>
        </is>
      </c>
      <c r="D52" s="16" t="inlineStr">
        <is>
          <t>Black</t>
        </is>
      </c>
      <c r="E52" s="16" t="inlineStr">
        <is>
          <t>XS–XXL</t>
        </is>
      </c>
      <c r="F52" s="16" t="n">
        <v>30</v>
      </c>
      <c r="G52" s="16" t="n">
        <v>30</v>
      </c>
      <c r="H52" s="16">
        <f>IF(G52&gt;0,ROUND(F52/G52,1),"-")</f>
        <v/>
      </c>
      <c r="I52" s="16">
        <f>IF(F52&lt;=J52,"Reorder",IF(F52&lt;=J52*1.5,"Low","OK"))</f>
        <v/>
      </c>
      <c r="J52" s="16" t="n">
        <v>40</v>
      </c>
      <c r="K52" s="18">
        <f>F52*L52</f>
        <v/>
      </c>
      <c r="L52" s="18" t="n">
        <v>7177</v>
      </c>
      <c r="M52" s="19" t="n">
        <v>0.364</v>
      </c>
    </row>
    <row r="53" ht="16" customHeight="1">
      <c r="A53" s="20" t="inlineStr">
        <is>
          <t>DE-0012</t>
        </is>
      </c>
      <c r="B53" s="20" t="inlineStr">
        <is>
          <t>Denim</t>
        </is>
      </c>
      <c r="C53" s="21" t="inlineStr">
        <is>
          <t>Raw Hem</t>
        </is>
      </c>
      <c r="D53" s="20" t="inlineStr">
        <is>
          <t>Rust</t>
        </is>
      </c>
      <c r="E53" s="20" t="inlineStr">
        <is>
          <t>XS–XXL</t>
        </is>
      </c>
      <c r="F53" s="20" t="n">
        <v>158</v>
      </c>
      <c r="G53" s="20" t="n">
        <v>2</v>
      </c>
      <c r="H53" s="20">
        <f>IF(G53&gt;0,ROUND(F53/G53,1),"-")</f>
        <v/>
      </c>
      <c r="I53" s="20">
        <f>IF(F53&lt;=J53,"Reorder",IF(F53&lt;=J53*1.5,"Low","OK"))</f>
        <v/>
      </c>
      <c r="J53" s="20" t="n">
        <v>40</v>
      </c>
      <c r="K53" s="22">
        <f>F53*L53</f>
        <v/>
      </c>
      <c r="L53" s="22" t="n">
        <v>3644</v>
      </c>
      <c r="M53" s="23" t="n">
        <v>0.478</v>
      </c>
    </row>
    <row r="54" ht="16" customHeight="1">
      <c r="A54" s="16" t="inlineStr">
        <is>
          <t>DE-0013</t>
        </is>
      </c>
      <c r="B54" s="16" t="inlineStr">
        <is>
          <t>Denim</t>
        </is>
      </c>
      <c r="C54" s="17" t="inlineStr">
        <is>
          <t>Ripped Knee</t>
        </is>
      </c>
      <c r="D54" s="16" t="inlineStr">
        <is>
          <t>Olive</t>
        </is>
      </c>
      <c r="E54" s="16" t="inlineStr">
        <is>
          <t>XS–XXL</t>
        </is>
      </c>
      <c r="F54" s="16" t="n">
        <v>239</v>
      </c>
      <c r="G54" s="16" t="n">
        <v>8</v>
      </c>
      <c r="H54" s="16">
        <f>IF(G54&gt;0,ROUND(F54/G54,1),"-")</f>
        <v/>
      </c>
      <c r="I54" s="16">
        <f>IF(F54&lt;=J54,"Reorder",IF(F54&lt;=J54*1.5,"Low","OK"))</f>
        <v/>
      </c>
      <c r="J54" s="16" t="n">
        <v>20</v>
      </c>
      <c r="K54" s="18">
        <f>F54*L54</f>
        <v/>
      </c>
      <c r="L54" s="18" t="n">
        <v>2032</v>
      </c>
      <c r="M54" s="19" t="n">
        <v>0.524</v>
      </c>
    </row>
    <row r="55" ht="16" customHeight="1">
      <c r="A55" s="20" t="inlineStr">
        <is>
          <t>DE-0014</t>
        </is>
      </c>
      <c r="B55" s="20" t="inlineStr">
        <is>
          <t>Denim</t>
        </is>
      </c>
      <c r="C55" s="21" t="inlineStr">
        <is>
          <t>High Waist</t>
        </is>
      </c>
      <c r="D55" s="20" t="inlineStr">
        <is>
          <t>White</t>
        </is>
      </c>
      <c r="E55" s="20" t="inlineStr">
        <is>
          <t>XS–XXL</t>
        </is>
      </c>
      <c r="F55" s="20" t="n">
        <v>101</v>
      </c>
      <c r="G55" s="20" t="n">
        <v>4</v>
      </c>
      <c r="H55" s="20">
        <f>IF(G55&gt;0,ROUND(F55/G55,1),"-")</f>
        <v/>
      </c>
      <c r="I55" s="20">
        <f>IF(F55&lt;=J55,"Reorder",IF(F55&lt;=J55*1.5,"Low","OK"))</f>
        <v/>
      </c>
      <c r="J55" s="20" t="n">
        <v>25</v>
      </c>
      <c r="K55" s="22">
        <f>F55*L55</f>
        <v/>
      </c>
      <c r="L55" s="22" t="n">
        <v>5538</v>
      </c>
      <c r="M55" s="23" t="n">
        <v>0.382</v>
      </c>
    </row>
    <row r="56" ht="16" customHeight="1">
      <c r="A56" s="16" t="inlineStr">
        <is>
          <t>DE-0015</t>
        </is>
      </c>
      <c r="B56" s="16" t="inlineStr">
        <is>
          <t>Denim</t>
        </is>
      </c>
      <c r="C56" s="17" t="inlineStr">
        <is>
          <t>Low Rise</t>
        </is>
      </c>
      <c r="D56" s="16" t="inlineStr">
        <is>
          <t>White</t>
        </is>
      </c>
      <c r="E56" s="16" t="inlineStr">
        <is>
          <t>XS–XXL</t>
        </is>
      </c>
      <c r="F56" s="16" t="n">
        <v>2</v>
      </c>
      <c r="G56" s="16" t="n">
        <v>14</v>
      </c>
      <c r="H56" s="16">
        <f>IF(G56&gt;0,ROUND(F56/G56,1),"-")</f>
        <v/>
      </c>
      <c r="I56" s="16">
        <f>IF(F56&lt;=J56,"Reorder",IF(F56&lt;=J56*1.5,"Low","OK"))</f>
        <v/>
      </c>
      <c r="J56" s="16" t="n">
        <v>15</v>
      </c>
      <c r="K56" s="18">
        <f>F56*L56</f>
        <v/>
      </c>
      <c r="L56" s="18" t="n">
        <v>5159</v>
      </c>
      <c r="M56" s="19" t="n">
        <v>0.471</v>
      </c>
    </row>
    <row r="57" ht="16" customHeight="1">
      <c r="A57" s="20" t="inlineStr">
        <is>
          <t>DE-0016</t>
        </is>
      </c>
      <c r="B57" s="20" t="inlineStr">
        <is>
          <t>Denim</t>
        </is>
      </c>
      <c r="C57" s="21" t="inlineStr">
        <is>
          <t>Bootcut</t>
        </is>
      </c>
      <c r="D57" s="20" t="inlineStr">
        <is>
          <t>White</t>
        </is>
      </c>
      <c r="E57" s="20" t="inlineStr">
        <is>
          <t>XS–XXL</t>
        </is>
      </c>
      <c r="F57" s="20" t="n">
        <v>137</v>
      </c>
      <c r="G57" s="20" t="n">
        <v>6</v>
      </c>
      <c r="H57" s="20">
        <f>IF(G57&gt;0,ROUND(F57/G57,1),"-")</f>
        <v/>
      </c>
      <c r="I57" s="20">
        <f>IF(F57&lt;=J57,"Reorder",IF(F57&lt;=J57*1.5,"Low","OK"))</f>
        <v/>
      </c>
      <c r="J57" s="20" t="n">
        <v>25</v>
      </c>
      <c r="K57" s="22">
        <f>F57*L57</f>
        <v/>
      </c>
      <c r="L57" s="22" t="n">
        <v>4294</v>
      </c>
      <c r="M57" s="23" t="n">
        <v>0.325</v>
      </c>
    </row>
    <row r="58" ht="16" customHeight="1">
      <c r="A58" s="16" t="inlineStr">
        <is>
          <t>DE-0017</t>
        </is>
      </c>
      <c r="B58" s="16" t="inlineStr">
        <is>
          <t>Denim</t>
        </is>
      </c>
      <c r="C58" s="17" t="inlineStr">
        <is>
          <t>Chambray Shirt</t>
        </is>
      </c>
      <c r="D58" s="16" t="inlineStr">
        <is>
          <t>Olive</t>
        </is>
      </c>
      <c r="E58" s="16" t="inlineStr">
        <is>
          <t>XS–XXL</t>
        </is>
      </c>
      <c r="F58" s="16" t="n">
        <v>225</v>
      </c>
      <c r="G58" s="16" t="n">
        <v>7</v>
      </c>
      <c r="H58" s="16">
        <f>IF(G58&gt;0,ROUND(F58/G58,1),"-")</f>
        <v/>
      </c>
      <c r="I58" s="16">
        <f>IF(F58&lt;=J58,"Reorder",IF(F58&lt;=J58*1.5,"Low","OK"))</f>
        <v/>
      </c>
      <c r="J58" s="16" t="n">
        <v>40</v>
      </c>
      <c r="K58" s="18">
        <f>F58*L58</f>
        <v/>
      </c>
      <c r="L58" s="18" t="n">
        <v>3271</v>
      </c>
      <c r="M58" s="19" t="n">
        <v>0.334</v>
      </c>
    </row>
    <row r="59" ht="16" customHeight="1">
      <c r="A59" s="20" t="inlineStr">
        <is>
          <t>DE-0018</t>
        </is>
      </c>
      <c r="B59" s="20" t="inlineStr">
        <is>
          <t>Denim</t>
        </is>
      </c>
      <c r="C59" s="21" t="inlineStr">
        <is>
          <t>Denim Jacket</t>
        </is>
      </c>
      <c r="D59" s="20" t="inlineStr">
        <is>
          <t>Olive</t>
        </is>
      </c>
      <c r="E59" s="20" t="inlineStr">
        <is>
          <t>XS–XXL</t>
        </is>
      </c>
      <c r="F59" s="20" t="n">
        <v>156</v>
      </c>
      <c r="G59" s="20" t="n">
        <v>25</v>
      </c>
      <c r="H59" s="20">
        <f>IF(G59&gt;0,ROUND(F59/G59,1),"-")</f>
        <v/>
      </c>
      <c r="I59" s="20">
        <f>IF(F59&lt;=J59,"Reorder",IF(F59&lt;=J59*1.5,"Low","OK"))</f>
        <v/>
      </c>
      <c r="J59" s="20" t="n">
        <v>40</v>
      </c>
      <c r="K59" s="22">
        <f>F59*L59</f>
        <v/>
      </c>
      <c r="L59" s="22" t="n">
        <v>5405</v>
      </c>
      <c r="M59" s="23" t="n">
        <v>0.283</v>
      </c>
    </row>
    <row r="60" ht="16" customHeight="1">
      <c r="A60" s="16" t="inlineStr">
        <is>
          <t>DE-0019</t>
        </is>
      </c>
      <c r="B60" s="16" t="inlineStr">
        <is>
          <t>Denim</t>
        </is>
      </c>
      <c r="C60" s="17" t="inlineStr">
        <is>
          <t>Denim Skirt</t>
        </is>
      </c>
      <c r="D60" s="16" t="inlineStr">
        <is>
          <t>White</t>
        </is>
      </c>
      <c r="E60" s="16" t="inlineStr">
        <is>
          <t>XS–XXL</t>
        </is>
      </c>
      <c r="F60" s="16" t="n">
        <v>238</v>
      </c>
      <c r="G60" s="16" t="n">
        <v>21</v>
      </c>
      <c r="H60" s="16">
        <f>IF(G60&gt;0,ROUND(F60/G60,1),"-")</f>
        <v/>
      </c>
      <c r="I60" s="16">
        <f>IF(F60&lt;=J60,"Reorder",IF(F60&lt;=J60*1.5,"Low","OK"))</f>
        <v/>
      </c>
      <c r="J60" s="16" t="n">
        <v>25</v>
      </c>
      <c r="K60" s="18">
        <f>F60*L60</f>
        <v/>
      </c>
      <c r="L60" s="18" t="n">
        <v>1277</v>
      </c>
      <c r="M60" s="19" t="n">
        <v>0.579</v>
      </c>
    </row>
    <row r="61" ht="16" customHeight="1">
      <c r="A61" s="20" t="inlineStr">
        <is>
          <t>DE-0020</t>
        </is>
      </c>
      <c r="B61" s="20" t="inlineStr">
        <is>
          <t>Denim</t>
        </is>
      </c>
      <c r="C61" s="21" t="inlineStr">
        <is>
          <t>Shorts</t>
        </is>
      </c>
      <c r="D61" s="20" t="inlineStr">
        <is>
          <t>Teal</t>
        </is>
      </c>
      <c r="E61" s="20" t="inlineStr">
        <is>
          <t>XS–XXL</t>
        </is>
      </c>
      <c r="F61" s="20" t="n">
        <v>227</v>
      </c>
      <c r="G61" s="20" t="n">
        <v>3</v>
      </c>
      <c r="H61" s="20">
        <f>IF(G61&gt;0,ROUND(F61/G61,1),"-")</f>
        <v/>
      </c>
      <c r="I61" s="20">
        <f>IF(F61&lt;=J61,"Reorder",IF(F61&lt;=J61*1.5,"Low","OK"))</f>
        <v/>
      </c>
      <c r="J61" s="20" t="n">
        <v>25</v>
      </c>
      <c r="K61" s="22">
        <f>F61*L61</f>
        <v/>
      </c>
      <c r="L61" s="22" t="n">
        <v>6068</v>
      </c>
      <c r="M61" s="23" t="n">
        <v>0.333</v>
      </c>
    </row>
    <row r="62" ht="16" customHeight="1">
      <c r="A62" s="16" t="inlineStr">
        <is>
          <t>FO-0001</t>
        </is>
      </c>
      <c r="B62" s="16" t="inlineStr">
        <is>
          <t>Footwear</t>
        </is>
      </c>
      <c r="C62" s="17" t="inlineStr">
        <is>
          <t>Block Heel Mule</t>
        </is>
      </c>
      <c r="D62" s="16" t="inlineStr">
        <is>
          <t>Blush</t>
        </is>
      </c>
      <c r="E62" s="16" t="inlineStr">
        <is>
          <t>XS–XXL</t>
        </is>
      </c>
      <c r="F62" s="16" t="n">
        <v>53</v>
      </c>
      <c r="G62" s="16" t="n">
        <v>22</v>
      </c>
      <c r="H62" s="16">
        <f>IF(G62&gt;0,ROUND(F62/G62,1),"-")</f>
        <v/>
      </c>
      <c r="I62" s="16">
        <f>IF(F62&lt;=J62,"Reorder",IF(F62&lt;=J62*1.5,"Low","OK"))</f>
        <v/>
      </c>
      <c r="J62" s="16" t="n">
        <v>25</v>
      </c>
      <c r="K62" s="18">
        <f>F62*L62</f>
        <v/>
      </c>
      <c r="L62" s="18" t="n">
        <v>3072</v>
      </c>
      <c r="M62" s="19" t="n">
        <v>0.514</v>
      </c>
    </row>
    <row r="63" ht="16" customHeight="1">
      <c r="A63" s="20" t="inlineStr">
        <is>
          <t>FO-0002</t>
        </is>
      </c>
      <c r="B63" s="20" t="inlineStr">
        <is>
          <t>Footwear</t>
        </is>
      </c>
      <c r="C63" s="21" t="inlineStr">
        <is>
          <t>Strappy Sandal</t>
        </is>
      </c>
      <c r="D63" s="20" t="inlineStr">
        <is>
          <t>Sage</t>
        </is>
      </c>
      <c r="E63" s="20" t="inlineStr">
        <is>
          <t>XS–XXL</t>
        </is>
      </c>
      <c r="F63" s="20" t="n">
        <v>125</v>
      </c>
      <c r="G63" s="20" t="n">
        <v>8</v>
      </c>
      <c r="H63" s="20">
        <f>IF(G63&gt;0,ROUND(F63/G63,1),"-")</f>
        <v/>
      </c>
      <c r="I63" s="20">
        <f>IF(F63&lt;=J63,"Reorder",IF(F63&lt;=J63*1.5,"Low","OK"))</f>
        <v/>
      </c>
      <c r="J63" s="20" t="n">
        <v>15</v>
      </c>
      <c r="K63" s="22">
        <f>F63*L63</f>
        <v/>
      </c>
      <c r="L63" s="22" t="n">
        <v>7290</v>
      </c>
      <c r="M63" s="23" t="n">
        <v>0.5679999999999999</v>
      </c>
    </row>
    <row r="64" ht="16" customHeight="1">
      <c r="A64" s="16" t="inlineStr">
        <is>
          <t>FO-0003</t>
        </is>
      </c>
      <c r="B64" s="16" t="inlineStr">
        <is>
          <t>Footwear</t>
        </is>
      </c>
      <c r="C64" s="17" t="inlineStr">
        <is>
          <t>Platform Boot</t>
        </is>
      </c>
      <c r="D64" s="16" t="inlineStr">
        <is>
          <t>Olive</t>
        </is>
      </c>
      <c r="E64" s="16" t="inlineStr">
        <is>
          <t>XS–XXL</t>
        </is>
      </c>
      <c r="F64" s="16" t="n">
        <v>212</v>
      </c>
      <c r="G64" s="16" t="n">
        <v>8</v>
      </c>
      <c r="H64" s="16">
        <f>IF(G64&gt;0,ROUND(F64/G64,1),"-")</f>
        <v/>
      </c>
      <c r="I64" s="16">
        <f>IF(F64&lt;=J64,"Reorder",IF(F64&lt;=J64*1.5,"Low","OK"))</f>
        <v/>
      </c>
      <c r="J64" s="16" t="n">
        <v>20</v>
      </c>
      <c r="K64" s="18">
        <f>F64*L64</f>
        <v/>
      </c>
      <c r="L64" s="18" t="n">
        <v>831</v>
      </c>
      <c r="M64" s="19" t="n">
        <v>0.393</v>
      </c>
    </row>
    <row r="65" ht="16" customHeight="1">
      <c r="A65" s="20" t="inlineStr">
        <is>
          <t>FO-0004</t>
        </is>
      </c>
      <c r="B65" s="20" t="inlineStr">
        <is>
          <t>Footwear</t>
        </is>
      </c>
      <c r="C65" s="21" t="inlineStr">
        <is>
          <t>Loafer</t>
        </is>
      </c>
      <c r="D65" s="20" t="inlineStr">
        <is>
          <t>Black</t>
        </is>
      </c>
      <c r="E65" s="20" t="inlineStr">
        <is>
          <t>XS–XXL</t>
        </is>
      </c>
      <c r="F65" s="20" t="n">
        <v>41</v>
      </c>
      <c r="G65" s="20" t="n">
        <v>23</v>
      </c>
      <c r="H65" s="20">
        <f>IF(G65&gt;0,ROUND(F65/G65,1),"-")</f>
        <v/>
      </c>
      <c r="I65" s="20">
        <f>IF(F65&lt;=J65,"Reorder",IF(F65&lt;=J65*1.5,"Low","OK"))</f>
        <v/>
      </c>
      <c r="J65" s="20" t="n">
        <v>40</v>
      </c>
      <c r="K65" s="22">
        <f>F65*L65</f>
        <v/>
      </c>
      <c r="L65" s="22" t="n">
        <v>3814</v>
      </c>
      <c r="M65" s="23" t="n">
        <v>0.52</v>
      </c>
    </row>
    <row r="66" ht="16" customHeight="1">
      <c r="A66" s="16" t="inlineStr">
        <is>
          <t>FO-0005</t>
        </is>
      </c>
      <c r="B66" s="16" t="inlineStr">
        <is>
          <t>Footwear</t>
        </is>
      </c>
      <c r="C66" s="17" t="inlineStr">
        <is>
          <t>Ballet Flat</t>
        </is>
      </c>
      <c r="D66" s="16" t="inlineStr">
        <is>
          <t>Blush</t>
        </is>
      </c>
      <c r="E66" s="16" t="inlineStr">
        <is>
          <t>XS–XXL</t>
        </is>
      </c>
      <c r="F66" s="16" t="n">
        <v>28</v>
      </c>
      <c r="G66" s="16" t="n">
        <v>2</v>
      </c>
      <c r="H66" s="16">
        <f>IF(G66&gt;0,ROUND(F66/G66,1),"-")</f>
        <v/>
      </c>
      <c r="I66" s="16">
        <f>IF(F66&lt;=J66,"Reorder",IF(F66&lt;=J66*1.5,"Low","OK"))</f>
        <v/>
      </c>
      <c r="J66" s="16" t="n">
        <v>20</v>
      </c>
      <c r="K66" s="18">
        <f>F66*L66</f>
        <v/>
      </c>
      <c r="L66" s="18" t="n">
        <v>7588</v>
      </c>
      <c r="M66" s="19" t="n">
        <v>0.515</v>
      </c>
    </row>
    <row r="67" ht="16" customHeight="1">
      <c r="A67" s="20" t="inlineStr">
        <is>
          <t>FO-0006</t>
        </is>
      </c>
      <c r="B67" s="20" t="inlineStr">
        <is>
          <t>Footwear</t>
        </is>
      </c>
      <c r="C67" s="21" t="inlineStr">
        <is>
          <t>Ankle Boot</t>
        </is>
      </c>
      <c r="D67" s="20" t="inlineStr">
        <is>
          <t>Navy</t>
        </is>
      </c>
      <c r="E67" s="20" t="inlineStr">
        <is>
          <t>XS–XXL</t>
        </is>
      </c>
      <c r="F67" s="20" t="n">
        <v>9</v>
      </c>
      <c r="G67" s="20" t="n">
        <v>26</v>
      </c>
      <c r="H67" s="20">
        <f>IF(G67&gt;0,ROUND(F67/G67,1),"-")</f>
        <v/>
      </c>
      <c r="I67" s="20">
        <f>IF(F67&lt;=J67,"Reorder",IF(F67&lt;=J67*1.5,"Low","OK"))</f>
        <v/>
      </c>
      <c r="J67" s="20" t="n">
        <v>30</v>
      </c>
      <c r="K67" s="22">
        <f>F67*L67</f>
        <v/>
      </c>
      <c r="L67" s="22" t="n">
        <v>3269</v>
      </c>
      <c r="M67" s="23" t="n">
        <v>0.468</v>
      </c>
    </row>
    <row r="68" ht="16" customHeight="1">
      <c r="A68" s="16" t="inlineStr">
        <is>
          <t>FO-0007</t>
        </is>
      </c>
      <c r="B68" s="16" t="inlineStr">
        <is>
          <t>Footwear</t>
        </is>
      </c>
      <c r="C68" s="17" t="inlineStr">
        <is>
          <t>Knee Boot</t>
        </is>
      </c>
      <c r="D68" s="16" t="inlineStr">
        <is>
          <t>Rust</t>
        </is>
      </c>
      <c r="E68" s="16" t="inlineStr">
        <is>
          <t>XS–XXL</t>
        </is>
      </c>
      <c r="F68" s="16" t="n">
        <v>10</v>
      </c>
      <c r="G68" s="16" t="n">
        <v>9</v>
      </c>
      <c r="H68" s="16">
        <f>IF(G68&gt;0,ROUND(F68/G68,1),"-")</f>
        <v/>
      </c>
      <c r="I68" s="16">
        <f>IF(F68&lt;=J68,"Reorder",IF(F68&lt;=J68*1.5,"Low","OK"))</f>
        <v/>
      </c>
      <c r="J68" s="16" t="n">
        <v>15</v>
      </c>
      <c r="K68" s="18">
        <f>F68*L68</f>
        <v/>
      </c>
      <c r="L68" s="18" t="n">
        <v>3235</v>
      </c>
      <c r="M68" s="19" t="n">
        <v>0.597</v>
      </c>
    </row>
    <row r="69" ht="16" customHeight="1">
      <c r="A69" s="20" t="inlineStr">
        <is>
          <t>FO-0008</t>
        </is>
      </c>
      <c r="B69" s="20" t="inlineStr">
        <is>
          <t>Footwear</t>
        </is>
      </c>
      <c r="C69" s="21" t="inlineStr">
        <is>
          <t>Sneaker</t>
        </is>
      </c>
      <c r="D69" s="20" t="inlineStr">
        <is>
          <t>Sage</t>
        </is>
      </c>
      <c r="E69" s="20" t="inlineStr">
        <is>
          <t>XS–XXL</t>
        </is>
      </c>
      <c r="F69" s="20" t="n">
        <v>53</v>
      </c>
      <c r="G69" s="20" t="n">
        <v>21</v>
      </c>
      <c r="H69" s="20">
        <f>IF(G69&gt;0,ROUND(F69/G69,1),"-")</f>
        <v/>
      </c>
      <c r="I69" s="20">
        <f>IF(F69&lt;=J69,"Reorder",IF(F69&lt;=J69*1.5,"Low","OK"))</f>
        <v/>
      </c>
      <c r="J69" s="20" t="n">
        <v>40</v>
      </c>
      <c r="K69" s="22">
        <f>F69*L69</f>
        <v/>
      </c>
      <c r="L69" s="22" t="n">
        <v>2371</v>
      </c>
      <c r="M69" s="23" t="n">
        <v>0.315</v>
      </c>
    </row>
    <row r="70" ht="16" customHeight="1">
      <c r="A70" s="16" t="inlineStr">
        <is>
          <t>FO-0009</t>
        </is>
      </c>
      <c r="B70" s="16" t="inlineStr">
        <is>
          <t>Footwear</t>
        </is>
      </c>
      <c r="C70" s="17" t="inlineStr">
        <is>
          <t>Espadrille</t>
        </is>
      </c>
      <c r="D70" s="16" t="inlineStr">
        <is>
          <t>Navy</t>
        </is>
      </c>
      <c r="E70" s="16" t="inlineStr">
        <is>
          <t>XS–XXL</t>
        </is>
      </c>
      <c r="F70" s="16" t="n">
        <v>249</v>
      </c>
      <c r="G70" s="16" t="n">
        <v>19</v>
      </c>
      <c r="H70" s="16">
        <f>IF(G70&gt;0,ROUND(F70/G70,1),"-")</f>
        <v/>
      </c>
      <c r="I70" s="16">
        <f>IF(F70&lt;=J70,"Reorder",IF(F70&lt;=J70*1.5,"Low","OK"))</f>
        <v/>
      </c>
      <c r="J70" s="16" t="n">
        <v>20</v>
      </c>
      <c r="K70" s="18">
        <f>F70*L70</f>
        <v/>
      </c>
      <c r="L70" s="18" t="n">
        <v>6121</v>
      </c>
      <c r="M70" s="19" t="n">
        <v>0.595</v>
      </c>
    </row>
    <row r="71" ht="16" customHeight="1">
      <c r="A71" s="20" t="inlineStr">
        <is>
          <t>FO-0010</t>
        </is>
      </c>
      <c r="B71" s="20" t="inlineStr">
        <is>
          <t>Footwear</t>
        </is>
      </c>
      <c r="C71" s="21" t="inlineStr">
        <is>
          <t>Wedge Sandal</t>
        </is>
      </c>
      <c r="D71" s="20" t="inlineStr">
        <is>
          <t>Navy</t>
        </is>
      </c>
      <c r="E71" s="20" t="inlineStr">
        <is>
          <t>XS–XXL</t>
        </is>
      </c>
      <c r="F71" s="20" t="n">
        <v>249</v>
      </c>
      <c r="G71" s="20" t="n">
        <v>25</v>
      </c>
      <c r="H71" s="20">
        <f>IF(G71&gt;0,ROUND(F71/G71,1),"-")</f>
        <v/>
      </c>
      <c r="I71" s="20">
        <f>IF(F71&lt;=J71,"Reorder",IF(F71&lt;=J71*1.5,"Low","OK"))</f>
        <v/>
      </c>
      <c r="J71" s="20" t="n">
        <v>15</v>
      </c>
      <c r="K71" s="22">
        <f>F71*L71</f>
        <v/>
      </c>
      <c r="L71" s="22" t="n">
        <v>6581</v>
      </c>
      <c r="M71" s="23" t="n">
        <v>0.58</v>
      </c>
    </row>
    <row r="72" ht="16" customHeight="1">
      <c r="A72" s="16" t="inlineStr">
        <is>
          <t>FO-0011</t>
        </is>
      </c>
      <c r="B72" s="16" t="inlineStr">
        <is>
          <t>Footwear</t>
        </is>
      </c>
      <c r="C72" s="17" t="inlineStr">
        <is>
          <t>Slide Sandal</t>
        </is>
      </c>
      <c r="D72" s="16" t="inlineStr">
        <is>
          <t>Olive</t>
        </is>
      </c>
      <c r="E72" s="16" t="inlineStr">
        <is>
          <t>XS–XXL</t>
        </is>
      </c>
      <c r="F72" s="16" t="n">
        <v>188</v>
      </c>
      <c r="G72" s="16" t="n">
        <v>29</v>
      </c>
      <c r="H72" s="16">
        <f>IF(G72&gt;0,ROUND(F72/G72,1),"-")</f>
        <v/>
      </c>
      <c r="I72" s="16">
        <f>IF(F72&lt;=J72,"Reorder",IF(F72&lt;=J72*1.5,"Low","OK"))</f>
        <v/>
      </c>
      <c r="J72" s="16" t="n">
        <v>20</v>
      </c>
      <c r="K72" s="18">
        <f>F72*L72</f>
        <v/>
      </c>
      <c r="L72" s="18" t="n">
        <v>2991</v>
      </c>
      <c r="M72" s="19" t="n">
        <v>0.596</v>
      </c>
    </row>
    <row r="73" ht="16" customHeight="1">
      <c r="A73" s="20" t="inlineStr">
        <is>
          <t>FO-0012</t>
        </is>
      </c>
      <c r="B73" s="20" t="inlineStr">
        <is>
          <t>Footwear</t>
        </is>
      </c>
      <c r="C73" s="21" t="inlineStr">
        <is>
          <t>Kitten Heel</t>
        </is>
      </c>
      <c r="D73" s="20" t="inlineStr">
        <is>
          <t>Camel</t>
        </is>
      </c>
      <c r="E73" s="20" t="inlineStr">
        <is>
          <t>XS–XXL</t>
        </is>
      </c>
      <c r="F73" s="20" t="n">
        <v>40</v>
      </c>
      <c r="G73" s="20" t="n">
        <v>25</v>
      </c>
      <c r="H73" s="20">
        <f>IF(G73&gt;0,ROUND(F73/G73,1),"-")</f>
        <v/>
      </c>
      <c r="I73" s="20">
        <f>IF(F73&lt;=J73,"Reorder",IF(F73&lt;=J73*1.5,"Low","OK"))</f>
        <v/>
      </c>
      <c r="J73" s="20" t="n">
        <v>15</v>
      </c>
      <c r="K73" s="22">
        <f>F73*L73</f>
        <v/>
      </c>
      <c r="L73" s="22" t="n">
        <v>5760</v>
      </c>
      <c r="M73" s="23" t="n">
        <v>0.41</v>
      </c>
    </row>
    <row r="74" ht="16" customHeight="1">
      <c r="A74" s="16" t="inlineStr">
        <is>
          <t>FO-0013</t>
        </is>
      </c>
      <c r="B74" s="16" t="inlineStr">
        <is>
          <t>Footwear</t>
        </is>
      </c>
      <c r="C74" s="17" t="inlineStr">
        <is>
          <t>Stiletto</t>
        </is>
      </c>
      <c r="D74" s="16" t="inlineStr">
        <is>
          <t>Beige</t>
        </is>
      </c>
      <c r="E74" s="16" t="inlineStr">
        <is>
          <t>XS–XXL</t>
        </is>
      </c>
      <c r="F74" s="16" t="n">
        <v>56</v>
      </c>
      <c r="G74" s="16" t="n">
        <v>6</v>
      </c>
      <c r="H74" s="16">
        <f>IF(G74&gt;0,ROUND(F74/G74,1),"-")</f>
        <v/>
      </c>
      <c r="I74" s="16">
        <f>IF(F74&lt;=J74,"Reorder",IF(F74&lt;=J74*1.5,"Low","OK"))</f>
        <v/>
      </c>
      <c r="J74" s="16" t="n">
        <v>25</v>
      </c>
      <c r="K74" s="18">
        <f>F74*L74</f>
        <v/>
      </c>
      <c r="L74" s="18" t="n">
        <v>6624</v>
      </c>
      <c r="M74" s="19" t="n">
        <v>0.4370000000000001</v>
      </c>
    </row>
    <row r="75" ht="16" customHeight="1">
      <c r="A75" s="20" t="inlineStr">
        <is>
          <t>FO-0014</t>
        </is>
      </c>
      <c r="B75" s="20" t="inlineStr">
        <is>
          <t>Footwear</t>
        </is>
      </c>
      <c r="C75" s="21" t="inlineStr">
        <is>
          <t>Oxford</t>
        </is>
      </c>
      <c r="D75" s="20" t="inlineStr">
        <is>
          <t>White</t>
        </is>
      </c>
      <c r="E75" s="20" t="inlineStr">
        <is>
          <t>XS–XXL</t>
        </is>
      </c>
      <c r="F75" s="20" t="n">
        <v>57</v>
      </c>
      <c r="G75" s="20" t="n">
        <v>0</v>
      </c>
      <c r="H75" s="20">
        <f>IF(G75&gt;0,ROUND(F75/G75,1),"-")</f>
        <v/>
      </c>
      <c r="I75" s="20">
        <f>IF(F75&lt;=J75,"Reorder",IF(F75&lt;=J75*1.5,"Low","OK"))</f>
        <v/>
      </c>
      <c r="J75" s="20" t="n">
        <v>25</v>
      </c>
      <c r="K75" s="22">
        <f>F75*L75</f>
        <v/>
      </c>
      <c r="L75" s="22" t="n">
        <v>5450</v>
      </c>
      <c r="M75" s="23" t="n">
        <v>0.415</v>
      </c>
    </row>
    <row r="76" ht="16" customHeight="1">
      <c r="A76" s="16" t="inlineStr">
        <is>
          <t>FO-0015</t>
        </is>
      </c>
      <c r="B76" s="16" t="inlineStr">
        <is>
          <t>Footwear</t>
        </is>
      </c>
      <c r="C76" s="17" t="inlineStr">
        <is>
          <t>Mary Jane</t>
        </is>
      </c>
      <c r="D76" s="16" t="inlineStr">
        <is>
          <t>Blush</t>
        </is>
      </c>
      <c r="E76" s="16" t="inlineStr">
        <is>
          <t>XS–XXL</t>
        </is>
      </c>
      <c r="F76" s="16" t="n">
        <v>247</v>
      </c>
      <c r="G76" s="16" t="n">
        <v>24</v>
      </c>
      <c r="H76" s="16">
        <f>IF(G76&gt;0,ROUND(F76/G76,1),"-")</f>
        <v/>
      </c>
      <c r="I76" s="16">
        <f>IF(F76&lt;=J76,"Reorder",IF(F76&lt;=J76*1.5,"Low","OK"))</f>
        <v/>
      </c>
      <c r="J76" s="16" t="n">
        <v>30</v>
      </c>
      <c r="K76" s="18">
        <f>F76*L76</f>
        <v/>
      </c>
      <c r="L76" s="18" t="n">
        <v>2593</v>
      </c>
      <c r="M76" s="19" t="n">
        <v>0.498</v>
      </c>
    </row>
    <row r="77" ht="16" customHeight="1">
      <c r="A77" s="20" t="inlineStr">
        <is>
          <t>FO-0016</t>
        </is>
      </c>
      <c r="B77" s="20" t="inlineStr">
        <is>
          <t>Footwear</t>
        </is>
      </c>
      <c r="C77" s="21" t="inlineStr">
        <is>
          <t>Slip-On</t>
        </is>
      </c>
      <c r="D77" s="20" t="inlineStr">
        <is>
          <t>Navy</t>
        </is>
      </c>
      <c r="E77" s="20" t="inlineStr">
        <is>
          <t>XS–XXL</t>
        </is>
      </c>
      <c r="F77" s="20" t="n">
        <v>84</v>
      </c>
      <c r="G77" s="20" t="n">
        <v>30</v>
      </c>
      <c r="H77" s="20">
        <f>IF(G77&gt;0,ROUND(F77/G77,1),"-")</f>
        <v/>
      </c>
      <c r="I77" s="20">
        <f>IF(F77&lt;=J77,"Reorder",IF(F77&lt;=J77*1.5,"Low","OK"))</f>
        <v/>
      </c>
      <c r="J77" s="20" t="n">
        <v>25</v>
      </c>
      <c r="K77" s="22">
        <f>F77*L77</f>
        <v/>
      </c>
      <c r="L77" s="22" t="n">
        <v>707</v>
      </c>
      <c r="M77" s="23" t="n">
        <v>0.578</v>
      </c>
    </row>
    <row r="78" ht="16" customHeight="1">
      <c r="A78" s="16" t="inlineStr">
        <is>
          <t>FO-0017</t>
        </is>
      </c>
      <c r="B78" s="16" t="inlineStr">
        <is>
          <t>Footwear</t>
        </is>
      </c>
      <c r="C78" s="17" t="inlineStr">
        <is>
          <t>Chunky Sneaker</t>
        </is>
      </c>
      <c r="D78" s="16" t="inlineStr">
        <is>
          <t>Sage</t>
        </is>
      </c>
      <c r="E78" s="16" t="inlineStr">
        <is>
          <t>XS–XXL</t>
        </is>
      </c>
      <c r="F78" s="16" t="n">
        <v>148</v>
      </c>
      <c r="G78" s="16" t="n">
        <v>30</v>
      </c>
      <c r="H78" s="16">
        <f>IF(G78&gt;0,ROUND(F78/G78,1),"-")</f>
        <v/>
      </c>
      <c r="I78" s="16">
        <f>IF(F78&lt;=J78,"Reorder",IF(F78&lt;=J78*1.5,"Low","OK"))</f>
        <v/>
      </c>
      <c r="J78" s="16" t="n">
        <v>40</v>
      </c>
      <c r="K78" s="18">
        <f>F78*L78</f>
        <v/>
      </c>
      <c r="L78" s="18" t="n">
        <v>7877</v>
      </c>
      <c r="M78" s="19" t="n">
        <v>0.293</v>
      </c>
    </row>
    <row r="79" ht="16" customHeight="1">
      <c r="A79" s="20" t="inlineStr">
        <is>
          <t>FO-0018</t>
        </is>
      </c>
      <c r="B79" s="20" t="inlineStr">
        <is>
          <t>Footwear</t>
        </is>
      </c>
      <c r="C79" s="21" t="inlineStr">
        <is>
          <t>Thong Sandal</t>
        </is>
      </c>
      <c r="D79" s="20" t="inlineStr">
        <is>
          <t>White</t>
        </is>
      </c>
      <c r="E79" s="20" t="inlineStr">
        <is>
          <t>XS–XXL</t>
        </is>
      </c>
      <c r="F79" s="20" t="n">
        <v>88</v>
      </c>
      <c r="G79" s="20" t="n">
        <v>23</v>
      </c>
      <c r="H79" s="20">
        <f>IF(G79&gt;0,ROUND(F79/G79,1),"-")</f>
        <v/>
      </c>
      <c r="I79" s="20">
        <f>IF(F79&lt;=J79,"Reorder",IF(F79&lt;=J79*1.5,"Low","OK"))</f>
        <v/>
      </c>
      <c r="J79" s="20" t="n">
        <v>40</v>
      </c>
      <c r="K79" s="22">
        <f>F79*L79</f>
        <v/>
      </c>
      <c r="L79" s="22" t="n">
        <v>6398</v>
      </c>
      <c r="M79" s="23" t="n">
        <v>0.428</v>
      </c>
    </row>
    <row r="80" ht="16" customHeight="1">
      <c r="A80" s="16" t="inlineStr">
        <is>
          <t>FO-0019</t>
        </is>
      </c>
      <c r="B80" s="16" t="inlineStr">
        <is>
          <t>Footwear</t>
        </is>
      </c>
      <c r="C80" s="17" t="inlineStr">
        <is>
          <t>Moccasin</t>
        </is>
      </c>
      <c r="D80" s="16" t="inlineStr">
        <is>
          <t>Black</t>
        </is>
      </c>
      <c r="E80" s="16" t="inlineStr">
        <is>
          <t>XS–XXL</t>
        </is>
      </c>
      <c r="F80" s="16" t="n">
        <v>98</v>
      </c>
      <c r="G80" s="16" t="n">
        <v>28</v>
      </c>
      <c r="H80" s="16">
        <f>IF(G80&gt;0,ROUND(F80/G80,1),"-")</f>
        <v/>
      </c>
      <c r="I80" s="16">
        <f>IF(F80&lt;=J80,"Reorder",IF(F80&lt;=J80*1.5,"Low","OK"))</f>
        <v/>
      </c>
      <c r="J80" s="16" t="n">
        <v>30</v>
      </c>
      <c r="K80" s="18">
        <f>F80*L80</f>
        <v/>
      </c>
      <c r="L80" s="18" t="n">
        <v>4824</v>
      </c>
      <c r="M80" s="19" t="n">
        <v>0.367</v>
      </c>
    </row>
    <row r="81" ht="16" customHeight="1">
      <c r="A81" s="20" t="inlineStr">
        <is>
          <t>FO-0020</t>
        </is>
      </c>
      <c r="B81" s="20" t="inlineStr">
        <is>
          <t>Footwear</t>
        </is>
      </c>
      <c r="C81" s="21" t="inlineStr">
        <is>
          <t>Flip Flop</t>
        </is>
      </c>
      <c r="D81" s="20" t="inlineStr">
        <is>
          <t>Rust</t>
        </is>
      </c>
      <c r="E81" s="20" t="inlineStr">
        <is>
          <t>XS–XXL</t>
        </is>
      </c>
      <c r="F81" s="20" t="n">
        <v>133</v>
      </c>
      <c r="G81" s="20" t="n">
        <v>29</v>
      </c>
      <c r="H81" s="20">
        <f>IF(G81&gt;0,ROUND(F81/G81,1),"-")</f>
        <v/>
      </c>
      <c r="I81" s="20">
        <f>IF(F81&lt;=J81,"Reorder",IF(F81&lt;=J81*1.5,"Low","OK"))</f>
        <v/>
      </c>
      <c r="J81" s="20" t="n">
        <v>20</v>
      </c>
      <c r="K81" s="22">
        <f>F81*L81</f>
        <v/>
      </c>
      <c r="L81" s="22" t="n">
        <v>6549</v>
      </c>
      <c r="M81" s="23" t="n">
        <v>0.514</v>
      </c>
    </row>
    <row r="82" ht="16" customHeight="1">
      <c r="A82" s="16" t="inlineStr">
        <is>
          <t>AC-0001</t>
        </is>
      </c>
      <c r="B82" s="16" t="inlineStr">
        <is>
          <t>Accessories</t>
        </is>
      </c>
      <c r="C82" s="17" t="inlineStr">
        <is>
          <t>Leather Belt</t>
        </is>
      </c>
      <c r="D82" s="16" t="inlineStr">
        <is>
          <t>Rust</t>
        </is>
      </c>
      <c r="E82" s="16" t="inlineStr">
        <is>
          <t>XS–XXL</t>
        </is>
      </c>
      <c r="F82" s="16" t="n">
        <v>110</v>
      </c>
      <c r="G82" s="16" t="n">
        <v>2</v>
      </c>
      <c r="H82" s="16">
        <f>IF(G82&gt;0,ROUND(F82/G82,1),"-")</f>
        <v/>
      </c>
      <c r="I82" s="16">
        <f>IF(F82&lt;=J82,"Reorder",IF(F82&lt;=J82*1.5,"Low","OK"))</f>
        <v/>
      </c>
      <c r="J82" s="16" t="n">
        <v>40</v>
      </c>
      <c r="K82" s="18">
        <f>F82*L82</f>
        <v/>
      </c>
      <c r="L82" s="18" t="n">
        <v>7617</v>
      </c>
      <c r="M82" s="19" t="n">
        <v>0.593</v>
      </c>
    </row>
    <row r="83" ht="16" customHeight="1">
      <c r="A83" s="20" t="inlineStr">
        <is>
          <t>AC-0002</t>
        </is>
      </c>
      <c r="B83" s="20" t="inlineStr">
        <is>
          <t>Accessories</t>
        </is>
      </c>
      <c r="C83" s="21" t="inlineStr">
        <is>
          <t>Bucket Hat</t>
        </is>
      </c>
      <c r="D83" s="20" t="inlineStr">
        <is>
          <t>Olive</t>
        </is>
      </c>
      <c r="E83" s="20" t="inlineStr">
        <is>
          <t>XS–XXL</t>
        </is>
      </c>
      <c r="F83" s="20" t="n">
        <v>169</v>
      </c>
      <c r="G83" s="20" t="n">
        <v>27</v>
      </c>
      <c r="H83" s="20">
        <f>IF(G83&gt;0,ROUND(F83/G83,1),"-")</f>
        <v/>
      </c>
      <c r="I83" s="20">
        <f>IF(F83&lt;=J83,"Reorder",IF(F83&lt;=J83*1.5,"Low","OK"))</f>
        <v/>
      </c>
      <c r="J83" s="20" t="n">
        <v>40</v>
      </c>
      <c r="K83" s="22">
        <f>F83*L83</f>
        <v/>
      </c>
      <c r="L83" s="22" t="n">
        <v>1435</v>
      </c>
      <c r="M83" s="23" t="n">
        <v>0.586</v>
      </c>
    </row>
    <row r="84" ht="16" customHeight="1">
      <c r="A84" s="16" t="inlineStr">
        <is>
          <t>AC-0003</t>
        </is>
      </c>
      <c r="B84" s="16" t="inlineStr">
        <is>
          <t>Accessories</t>
        </is>
      </c>
      <c r="C84" s="17" t="inlineStr">
        <is>
          <t>Silk Scarf</t>
        </is>
      </c>
      <c r="D84" s="16" t="inlineStr">
        <is>
          <t>Navy</t>
        </is>
      </c>
      <c r="E84" s="16" t="inlineStr">
        <is>
          <t>XS–XXL</t>
        </is>
      </c>
      <c r="F84" s="16" t="n">
        <v>170</v>
      </c>
      <c r="G84" s="16" t="n">
        <v>13</v>
      </c>
      <c r="H84" s="16">
        <f>IF(G84&gt;0,ROUND(F84/G84,1),"-")</f>
        <v/>
      </c>
      <c r="I84" s="16">
        <f>IF(F84&lt;=J84,"Reorder",IF(F84&lt;=J84*1.5,"Low","OK"))</f>
        <v/>
      </c>
      <c r="J84" s="16" t="n">
        <v>40</v>
      </c>
      <c r="K84" s="18">
        <f>F84*L84</f>
        <v/>
      </c>
      <c r="L84" s="18" t="n">
        <v>2946</v>
      </c>
      <c r="M84" s="19" t="n">
        <v>0.517</v>
      </c>
    </row>
    <row r="85" ht="16" customHeight="1">
      <c r="A85" s="20" t="inlineStr">
        <is>
          <t>AC-0004</t>
        </is>
      </c>
      <c r="B85" s="20" t="inlineStr">
        <is>
          <t>Accessories</t>
        </is>
      </c>
      <c r="C85" s="21" t="inlineStr">
        <is>
          <t>Hoop Earrings</t>
        </is>
      </c>
      <c r="D85" s="20" t="inlineStr">
        <is>
          <t>Teal</t>
        </is>
      </c>
      <c r="E85" s="20" t="inlineStr">
        <is>
          <t>XS–XXL</t>
        </is>
      </c>
      <c r="F85" s="20" t="n">
        <v>49</v>
      </c>
      <c r="G85" s="20" t="n">
        <v>13</v>
      </c>
      <c r="H85" s="20">
        <f>IF(G85&gt;0,ROUND(F85/G85,1),"-")</f>
        <v/>
      </c>
      <c r="I85" s="20">
        <f>IF(F85&lt;=J85,"Reorder",IF(F85&lt;=J85*1.5,"Low","OK"))</f>
        <v/>
      </c>
      <c r="J85" s="20" t="n">
        <v>20</v>
      </c>
      <c r="K85" s="22">
        <f>F85*L85</f>
        <v/>
      </c>
      <c r="L85" s="22" t="n">
        <v>5487</v>
      </c>
      <c r="M85" s="23" t="n">
        <v>0.409</v>
      </c>
    </row>
    <row r="86" ht="16" customHeight="1">
      <c r="A86" s="16" t="inlineStr">
        <is>
          <t>AC-0005</t>
        </is>
      </c>
      <c r="B86" s="16" t="inlineStr">
        <is>
          <t>Accessories</t>
        </is>
      </c>
      <c r="C86" s="17" t="inlineStr">
        <is>
          <t>Chain Necklace</t>
        </is>
      </c>
      <c r="D86" s="16" t="inlineStr">
        <is>
          <t>Olive</t>
        </is>
      </c>
      <c r="E86" s="16" t="inlineStr">
        <is>
          <t>XS–XXL</t>
        </is>
      </c>
      <c r="F86" s="16" t="n">
        <v>145</v>
      </c>
      <c r="G86" s="16" t="n">
        <v>9</v>
      </c>
      <c r="H86" s="16">
        <f>IF(G86&gt;0,ROUND(F86/G86,1),"-")</f>
        <v/>
      </c>
      <c r="I86" s="16">
        <f>IF(F86&lt;=J86,"Reorder",IF(F86&lt;=J86*1.5,"Low","OK"))</f>
        <v/>
      </c>
      <c r="J86" s="16" t="n">
        <v>25</v>
      </c>
      <c r="K86" s="18">
        <f>F86*L86</f>
        <v/>
      </c>
      <c r="L86" s="18" t="n">
        <v>3546</v>
      </c>
      <c r="M86" s="19" t="n">
        <v>0.5629999999999999</v>
      </c>
    </row>
    <row r="87" ht="16" customHeight="1">
      <c r="A87" s="20" t="inlineStr">
        <is>
          <t>AC-0006</t>
        </is>
      </c>
      <c r="B87" s="20" t="inlineStr">
        <is>
          <t>Accessories</t>
        </is>
      </c>
      <c r="C87" s="21" t="inlineStr">
        <is>
          <t>Canvas Tote</t>
        </is>
      </c>
      <c r="D87" s="20" t="inlineStr">
        <is>
          <t>Camel</t>
        </is>
      </c>
      <c r="E87" s="20" t="inlineStr">
        <is>
          <t>XS–XXL</t>
        </is>
      </c>
      <c r="F87" s="20" t="n">
        <v>53</v>
      </c>
      <c r="G87" s="20" t="n">
        <v>13</v>
      </c>
      <c r="H87" s="20">
        <f>IF(G87&gt;0,ROUND(F87/G87,1),"-")</f>
        <v/>
      </c>
      <c r="I87" s="20">
        <f>IF(F87&lt;=J87,"Reorder",IF(F87&lt;=J87*1.5,"Low","OK"))</f>
        <v/>
      </c>
      <c r="J87" s="20" t="n">
        <v>25</v>
      </c>
      <c r="K87" s="22">
        <f>F87*L87</f>
        <v/>
      </c>
      <c r="L87" s="22" t="n">
        <v>6393</v>
      </c>
      <c r="M87" s="23" t="n">
        <v>0.486</v>
      </c>
    </row>
    <row r="88" ht="16" customHeight="1">
      <c r="A88" s="16" t="inlineStr">
        <is>
          <t>AC-0007</t>
        </is>
      </c>
      <c r="B88" s="16" t="inlineStr">
        <is>
          <t>Accessories</t>
        </is>
      </c>
      <c r="C88" s="17" t="inlineStr">
        <is>
          <t>Mini Bag</t>
        </is>
      </c>
      <c r="D88" s="16" t="inlineStr">
        <is>
          <t>White</t>
        </is>
      </c>
      <c r="E88" s="16" t="inlineStr">
        <is>
          <t>XS–XXL</t>
        </is>
      </c>
      <c r="F88" s="16" t="n">
        <v>113</v>
      </c>
      <c r="G88" s="16" t="n">
        <v>14</v>
      </c>
      <c r="H88" s="16">
        <f>IF(G88&gt;0,ROUND(F88/G88,1),"-")</f>
        <v/>
      </c>
      <c r="I88" s="16">
        <f>IF(F88&lt;=J88,"Reorder",IF(F88&lt;=J88*1.5,"Low","OK"))</f>
        <v/>
      </c>
      <c r="J88" s="16" t="n">
        <v>20</v>
      </c>
      <c r="K88" s="18">
        <f>F88*L88</f>
        <v/>
      </c>
      <c r="L88" s="18" t="n">
        <v>5567</v>
      </c>
      <c r="M88" s="19" t="n">
        <v>0.454</v>
      </c>
    </row>
    <row r="89" ht="16" customHeight="1">
      <c r="A89" s="20" t="inlineStr">
        <is>
          <t>AC-0008</t>
        </is>
      </c>
      <c r="B89" s="20" t="inlineStr">
        <is>
          <t>Accessories</t>
        </is>
      </c>
      <c r="C89" s="21" t="inlineStr">
        <is>
          <t>Shoulder Bag</t>
        </is>
      </c>
      <c r="D89" s="20" t="inlineStr">
        <is>
          <t>Beige</t>
        </is>
      </c>
      <c r="E89" s="20" t="inlineStr">
        <is>
          <t>XS–XXL</t>
        </is>
      </c>
      <c r="F89" s="20" t="n">
        <v>72</v>
      </c>
      <c r="G89" s="20" t="n">
        <v>16</v>
      </c>
      <c r="H89" s="20">
        <f>IF(G89&gt;0,ROUND(F89/G89,1),"-")</f>
        <v/>
      </c>
      <c r="I89" s="20">
        <f>IF(F89&lt;=J89,"Reorder",IF(F89&lt;=J89*1.5,"Low","OK"))</f>
        <v/>
      </c>
      <c r="J89" s="20" t="n">
        <v>15</v>
      </c>
      <c r="K89" s="22">
        <f>F89*L89</f>
        <v/>
      </c>
      <c r="L89" s="22" t="n">
        <v>5479</v>
      </c>
      <c r="M89" s="23" t="n">
        <v>0.491</v>
      </c>
    </row>
    <row r="90" ht="16" customHeight="1">
      <c r="A90" s="16" t="inlineStr">
        <is>
          <t>AC-0009</t>
        </is>
      </c>
      <c r="B90" s="16" t="inlineStr">
        <is>
          <t>Accessories</t>
        </is>
      </c>
      <c r="C90" s="17" t="inlineStr">
        <is>
          <t>Sunnies</t>
        </is>
      </c>
      <c r="D90" s="16" t="inlineStr">
        <is>
          <t>Black</t>
        </is>
      </c>
      <c r="E90" s="16" t="inlineStr">
        <is>
          <t>XS–XXL</t>
        </is>
      </c>
      <c r="F90" s="16" t="n">
        <v>172</v>
      </c>
      <c r="G90" s="16" t="n">
        <v>9</v>
      </c>
      <c r="H90" s="16">
        <f>IF(G90&gt;0,ROUND(F90/G90,1),"-")</f>
        <v/>
      </c>
      <c r="I90" s="16">
        <f>IF(F90&lt;=J90,"Reorder",IF(F90&lt;=J90*1.5,"Low","OK"))</f>
        <v/>
      </c>
      <c r="J90" s="16" t="n">
        <v>15</v>
      </c>
      <c r="K90" s="18">
        <f>F90*L90</f>
        <v/>
      </c>
      <c r="L90" s="18" t="n">
        <v>2185</v>
      </c>
      <c r="M90" s="19" t="n">
        <v>0.348</v>
      </c>
    </row>
    <row r="91" ht="16" customHeight="1">
      <c r="A91" s="20" t="inlineStr">
        <is>
          <t>AC-0010</t>
        </is>
      </c>
      <c r="B91" s="20" t="inlineStr">
        <is>
          <t>Accessories</t>
        </is>
      </c>
      <c r="C91" s="21" t="inlineStr">
        <is>
          <t>Scrunchie</t>
        </is>
      </c>
      <c r="D91" s="20" t="inlineStr">
        <is>
          <t>Sage</t>
        </is>
      </c>
      <c r="E91" s="20" t="inlineStr">
        <is>
          <t>XS–XXL</t>
        </is>
      </c>
      <c r="F91" s="20" t="n">
        <v>62</v>
      </c>
      <c r="G91" s="20" t="n">
        <v>15</v>
      </c>
      <c r="H91" s="20">
        <f>IF(G91&gt;0,ROUND(F91/G91,1),"-")</f>
        <v/>
      </c>
      <c r="I91" s="20">
        <f>IF(F91&lt;=J91,"Reorder",IF(F91&lt;=J91*1.5,"Low","OK"))</f>
        <v/>
      </c>
      <c r="J91" s="20" t="n">
        <v>30</v>
      </c>
      <c r="K91" s="22">
        <f>F91*L91</f>
        <v/>
      </c>
      <c r="L91" s="22" t="n">
        <v>5085</v>
      </c>
      <c r="M91" s="23" t="n">
        <v>0.541</v>
      </c>
    </row>
    <row r="92" ht="16" customHeight="1">
      <c r="A92" s="16" t="inlineStr">
        <is>
          <t>AC-0011</t>
        </is>
      </c>
      <c r="B92" s="16" t="inlineStr">
        <is>
          <t>Accessories</t>
        </is>
      </c>
      <c r="C92" s="17" t="inlineStr">
        <is>
          <t>Hair Clip</t>
        </is>
      </c>
      <c r="D92" s="16" t="inlineStr">
        <is>
          <t>Camel</t>
        </is>
      </c>
      <c r="E92" s="16" t="inlineStr">
        <is>
          <t>XS–XXL</t>
        </is>
      </c>
      <c r="F92" s="16" t="n">
        <v>226</v>
      </c>
      <c r="G92" s="16" t="n">
        <v>20</v>
      </c>
      <c r="H92" s="16">
        <f>IF(G92&gt;0,ROUND(F92/G92,1),"-")</f>
        <v/>
      </c>
      <c r="I92" s="16">
        <f>IF(F92&lt;=J92,"Reorder",IF(F92&lt;=J92*1.5,"Low","OK"))</f>
        <v/>
      </c>
      <c r="J92" s="16" t="n">
        <v>30</v>
      </c>
      <c r="K92" s="18">
        <f>F92*L92</f>
        <v/>
      </c>
      <c r="L92" s="18" t="n">
        <v>4818</v>
      </c>
      <c r="M92" s="19" t="n">
        <v>0.524</v>
      </c>
    </row>
    <row r="93" ht="16" customHeight="1">
      <c r="A93" s="20" t="inlineStr">
        <is>
          <t>AC-0012</t>
        </is>
      </c>
      <c r="B93" s="20" t="inlineStr">
        <is>
          <t>Accessories</t>
        </is>
      </c>
      <c r="C93" s="21" t="inlineStr">
        <is>
          <t>Anklet</t>
        </is>
      </c>
      <c r="D93" s="20" t="inlineStr">
        <is>
          <t>Sage</t>
        </is>
      </c>
      <c r="E93" s="20" t="inlineStr">
        <is>
          <t>XS–XXL</t>
        </is>
      </c>
      <c r="F93" s="20" t="n">
        <v>102</v>
      </c>
      <c r="G93" s="20" t="n">
        <v>7</v>
      </c>
      <c r="H93" s="20">
        <f>IF(G93&gt;0,ROUND(F93/G93,1),"-")</f>
        <v/>
      </c>
      <c r="I93" s="20">
        <f>IF(F93&lt;=J93,"Reorder",IF(F93&lt;=J93*1.5,"Low","OK"))</f>
        <v/>
      </c>
      <c r="J93" s="20" t="n">
        <v>15</v>
      </c>
      <c r="K93" s="22">
        <f>F93*L93</f>
        <v/>
      </c>
      <c r="L93" s="22" t="n">
        <v>1607</v>
      </c>
      <c r="M93" s="23" t="n">
        <v>0.514</v>
      </c>
    </row>
    <row r="94" ht="16" customHeight="1">
      <c r="A94" s="16" t="inlineStr">
        <is>
          <t>AC-0013</t>
        </is>
      </c>
      <c r="B94" s="16" t="inlineStr">
        <is>
          <t>Accessories</t>
        </is>
      </c>
      <c r="C94" s="17" t="inlineStr">
        <is>
          <t>Stud Earrings</t>
        </is>
      </c>
      <c r="D94" s="16" t="inlineStr">
        <is>
          <t>Black</t>
        </is>
      </c>
      <c r="E94" s="16" t="inlineStr">
        <is>
          <t>XS–XXL</t>
        </is>
      </c>
      <c r="F94" s="16" t="n">
        <v>56</v>
      </c>
      <c r="G94" s="16" t="n">
        <v>5</v>
      </c>
      <c r="H94" s="16">
        <f>IF(G94&gt;0,ROUND(F94/G94,1),"-")</f>
        <v/>
      </c>
      <c r="I94" s="16">
        <f>IF(F94&lt;=J94,"Reorder",IF(F94&lt;=J94*1.5,"Low","OK"))</f>
        <v/>
      </c>
      <c r="J94" s="16" t="n">
        <v>30</v>
      </c>
      <c r="K94" s="18">
        <f>F94*L94</f>
        <v/>
      </c>
      <c r="L94" s="18" t="n">
        <v>6531</v>
      </c>
      <c r="M94" s="19" t="n">
        <v>0.517</v>
      </c>
    </row>
    <row r="95" ht="16" customHeight="1">
      <c r="A95" s="20" t="inlineStr">
        <is>
          <t>AC-0014</t>
        </is>
      </c>
      <c r="B95" s="20" t="inlineStr">
        <is>
          <t>Accessories</t>
        </is>
      </c>
      <c r="C95" s="21" t="inlineStr">
        <is>
          <t>Bangle Set</t>
        </is>
      </c>
      <c r="D95" s="20" t="inlineStr">
        <is>
          <t>Camel</t>
        </is>
      </c>
      <c r="E95" s="20" t="inlineStr">
        <is>
          <t>XS–XXL</t>
        </is>
      </c>
      <c r="F95" s="20" t="n">
        <v>142</v>
      </c>
      <c r="G95" s="20" t="n">
        <v>7</v>
      </c>
      <c r="H95" s="20">
        <f>IF(G95&gt;0,ROUND(F95/G95,1),"-")</f>
        <v/>
      </c>
      <c r="I95" s="20">
        <f>IF(F95&lt;=J95,"Reorder",IF(F95&lt;=J95*1.5,"Low","OK"))</f>
        <v/>
      </c>
      <c r="J95" s="20" t="n">
        <v>20</v>
      </c>
      <c r="K95" s="22">
        <f>F95*L95</f>
        <v/>
      </c>
      <c r="L95" s="22" t="n">
        <v>7381</v>
      </c>
      <c r="M95" s="23" t="n">
        <v>0.321</v>
      </c>
    </row>
    <row r="96" ht="16" customHeight="1">
      <c r="A96" s="16" t="inlineStr">
        <is>
          <t>AC-0015</t>
        </is>
      </c>
      <c r="B96" s="16" t="inlineStr">
        <is>
          <t>Accessories</t>
        </is>
      </c>
      <c r="C96" s="17" t="inlineStr">
        <is>
          <t>Clutch</t>
        </is>
      </c>
      <c r="D96" s="16" t="inlineStr">
        <is>
          <t>Teal</t>
        </is>
      </c>
      <c r="E96" s="16" t="inlineStr">
        <is>
          <t>XS–XXL</t>
        </is>
      </c>
      <c r="F96" s="16" t="n">
        <v>170</v>
      </c>
      <c r="G96" s="16" t="n">
        <v>16</v>
      </c>
      <c r="H96" s="16">
        <f>IF(G96&gt;0,ROUND(F96/G96,1),"-")</f>
        <v/>
      </c>
      <c r="I96" s="16">
        <f>IF(F96&lt;=J96,"Reorder",IF(F96&lt;=J96*1.5,"Low","OK"))</f>
        <v/>
      </c>
      <c r="J96" s="16" t="n">
        <v>30</v>
      </c>
      <c r="K96" s="18">
        <f>F96*L96</f>
        <v/>
      </c>
      <c r="L96" s="18" t="n">
        <v>7909</v>
      </c>
      <c r="M96" s="19" t="n">
        <v>0.482</v>
      </c>
    </row>
    <row r="97" ht="16" customHeight="1">
      <c r="A97" s="20" t="inlineStr">
        <is>
          <t>AC-0016</t>
        </is>
      </c>
      <c r="B97" s="20" t="inlineStr">
        <is>
          <t>Accessories</t>
        </is>
      </c>
      <c r="C97" s="21" t="inlineStr">
        <is>
          <t>Crossbody Bag</t>
        </is>
      </c>
      <c r="D97" s="20" t="inlineStr">
        <is>
          <t>Camel</t>
        </is>
      </c>
      <c r="E97" s="20" t="inlineStr">
        <is>
          <t>XS–XXL</t>
        </is>
      </c>
      <c r="F97" s="20" t="n">
        <v>208</v>
      </c>
      <c r="G97" s="20" t="n">
        <v>23</v>
      </c>
      <c r="H97" s="20">
        <f>IF(G97&gt;0,ROUND(F97/G97,1),"-")</f>
        <v/>
      </c>
      <c r="I97" s="20">
        <f>IF(F97&lt;=J97,"Reorder",IF(F97&lt;=J97*1.5,"Low","OK"))</f>
        <v/>
      </c>
      <c r="J97" s="20" t="n">
        <v>40</v>
      </c>
      <c r="K97" s="22">
        <f>F97*L97</f>
        <v/>
      </c>
      <c r="L97" s="22" t="n">
        <v>7190</v>
      </c>
      <c r="M97" s="23" t="n">
        <v>0.425</v>
      </c>
    </row>
    <row r="98" ht="16" customHeight="1">
      <c r="A98" s="16" t="inlineStr">
        <is>
          <t>AC-0017</t>
        </is>
      </c>
      <c r="B98" s="16" t="inlineStr">
        <is>
          <t>Accessories</t>
        </is>
      </c>
      <c r="C98" s="17" t="inlineStr">
        <is>
          <t>Beanie</t>
        </is>
      </c>
      <c r="D98" s="16" t="inlineStr">
        <is>
          <t>Beige</t>
        </is>
      </c>
      <c r="E98" s="16" t="inlineStr">
        <is>
          <t>XS–XXL</t>
        </is>
      </c>
      <c r="F98" s="16" t="n">
        <v>229</v>
      </c>
      <c r="G98" s="16" t="n">
        <v>5</v>
      </c>
      <c r="H98" s="16">
        <f>IF(G98&gt;0,ROUND(F98/G98,1),"-")</f>
        <v/>
      </c>
      <c r="I98" s="16">
        <f>IF(F98&lt;=J98,"Reorder",IF(F98&lt;=J98*1.5,"Low","OK"))</f>
        <v/>
      </c>
      <c r="J98" s="16" t="n">
        <v>25</v>
      </c>
      <c r="K98" s="18">
        <f>F98*L98</f>
        <v/>
      </c>
      <c r="L98" s="18" t="n">
        <v>6077</v>
      </c>
      <c r="M98" s="19" t="n">
        <v>0.441</v>
      </c>
    </row>
    <row r="99" ht="16" customHeight="1">
      <c r="A99" s="20" t="inlineStr">
        <is>
          <t>AC-0018</t>
        </is>
      </c>
      <c r="B99" s="20" t="inlineStr">
        <is>
          <t>Accessories</t>
        </is>
      </c>
      <c r="C99" s="21" t="inlineStr">
        <is>
          <t>Cap</t>
        </is>
      </c>
      <c r="D99" s="20" t="inlineStr">
        <is>
          <t>Beige</t>
        </is>
      </c>
      <c r="E99" s="20" t="inlineStr">
        <is>
          <t>XS–XXL</t>
        </is>
      </c>
      <c r="F99" s="20" t="n">
        <v>215</v>
      </c>
      <c r="G99" s="20" t="n">
        <v>20</v>
      </c>
      <c r="H99" s="20">
        <f>IF(G99&gt;0,ROUND(F99/G99,1),"-")</f>
        <v/>
      </c>
      <c r="I99" s="20">
        <f>IF(F99&lt;=J99,"Reorder",IF(F99&lt;=J99*1.5,"Low","OK"))</f>
        <v/>
      </c>
      <c r="J99" s="20" t="n">
        <v>30</v>
      </c>
      <c r="K99" s="22">
        <f>F99*L99</f>
        <v/>
      </c>
      <c r="L99" s="22" t="n">
        <v>2580</v>
      </c>
      <c r="M99" s="23" t="n">
        <v>0.544</v>
      </c>
    </row>
    <row r="100" ht="16" customHeight="1">
      <c r="A100" s="16" t="inlineStr">
        <is>
          <t>AC-0019</t>
        </is>
      </c>
      <c r="B100" s="16" t="inlineStr">
        <is>
          <t>Accessories</t>
        </is>
      </c>
      <c r="C100" s="17" t="inlineStr">
        <is>
          <t>Bandana</t>
        </is>
      </c>
      <c r="D100" s="16" t="inlineStr">
        <is>
          <t>Rust</t>
        </is>
      </c>
      <c r="E100" s="16" t="inlineStr">
        <is>
          <t>XS–XXL</t>
        </is>
      </c>
      <c r="F100" s="16" t="n">
        <v>70</v>
      </c>
      <c r="G100" s="16" t="n">
        <v>14</v>
      </c>
      <c r="H100" s="16">
        <f>IF(G100&gt;0,ROUND(F100/G100,1),"-")</f>
        <v/>
      </c>
      <c r="I100" s="16">
        <f>IF(F100&lt;=J100,"Reorder",IF(F100&lt;=J100*1.5,"Low","OK"))</f>
        <v/>
      </c>
      <c r="J100" s="16" t="n">
        <v>25</v>
      </c>
      <c r="K100" s="18">
        <f>F100*L100</f>
        <v/>
      </c>
      <c r="L100" s="18" t="n">
        <v>1081</v>
      </c>
      <c r="M100" s="19" t="n">
        <v>0.377</v>
      </c>
    </row>
    <row r="101" ht="16" customHeight="1">
      <c r="A101" s="20" t="inlineStr">
        <is>
          <t>AC-0020</t>
        </is>
      </c>
      <c r="B101" s="20" t="inlineStr">
        <is>
          <t>Accessories</t>
        </is>
      </c>
      <c r="C101" s="21" t="inlineStr">
        <is>
          <t>Coin Purse</t>
        </is>
      </c>
      <c r="D101" s="20" t="inlineStr">
        <is>
          <t>Sage</t>
        </is>
      </c>
      <c r="E101" s="20" t="inlineStr">
        <is>
          <t>XS–XXL</t>
        </is>
      </c>
      <c r="F101" s="20" t="n">
        <v>81</v>
      </c>
      <c r="G101" s="20" t="n">
        <v>28</v>
      </c>
      <c r="H101" s="20">
        <f>IF(G101&gt;0,ROUND(F101/G101,1),"-")</f>
        <v/>
      </c>
      <c r="I101" s="20">
        <f>IF(F101&lt;=J101,"Reorder",IF(F101&lt;=J101*1.5,"Low","OK"))</f>
        <v/>
      </c>
      <c r="J101" s="20" t="n">
        <v>20</v>
      </c>
      <c r="K101" s="22">
        <f>F101*L101</f>
        <v/>
      </c>
      <c r="L101" s="22" t="n">
        <v>4551</v>
      </c>
      <c r="M101" s="23" t="n">
        <v>0.327</v>
      </c>
    </row>
    <row r="102" ht="16" customHeight="1">
      <c r="A102" s="16" t="inlineStr">
        <is>
          <t>OU-0001</t>
        </is>
      </c>
      <c r="B102" s="16" t="inlineStr">
        <is>
          <t>Outerwear</t>
        </is>
      </c>
      <c r="C102" s="17" t="inlineStr">
        <is>
          <t>Trench Coat</t>
        </is>
      </c>
      <c r="D102" s="16" t="inlineStr">
        <is>
          <t>Rust</t>
        </is>
      </c>
      <c r="E102" s="16" t="inlineStr">
        <is>
          <t>XS–XXL</t>
        </is>
      </c>
      <c r="F102" s="16" t="n">
        <v>177</v>
      </c>
      <c r="G102" s="16" t="n">
        <v>4</v>
      </c>
      <c r="H102" s="16">
        <f>IF(G102&gt;0,ROUND(F102/G102,1),"-")</f>
        <v/>
      </c>
      <c r="I102" s="16">
        <f>IF(F102&lt;=J102,"Reorder",IF(F102&lt;=J102*1.5,"Low","OK"))</f>
        <v/>
      </c>
      <c r="J102" s="16" t="n">
        <v>30</v>
      </c>
      <c r="K102" s="18">
        <f>F102*L102</f>
        <v/>
      </c>
      <c r="L102" s="18" t="n">
        <v>5798</v>
      </c>
      <c r="M102" s="19" t="n">
        <v>0.302</v>
      </c>
    </row>
    <row r="103" ht="16" customHeight="1">
      <c r="A103" s="20" t="inlineStr">
        <is>
          <t>OU-0002</t>
        </is>
      </c>
      <c r="B103" s="20" t="inlineStr">
        <is>
          <t>Outerwear</t>
        </is>
      </c>
      <c r="C103" s="21" t="inlineStr">
        <is>
          <t>Wool Blazer</t>
        </is>
      </c>
      <c r="D103" s="20" t="inlineStr">
        <is>
          <t>Sage</t>
        </is>
      </c>
      <c r="E103" s="20" t="inlineStr">
        <is>
          <t>XS–XXL</t>
        </is>
      </c>
      <c r="F103" s="20" t="n">
        <v>138</v>
      </c>
      <c r="G103" s="20" t="n">
        <v>14</v>
      </c>
      <c r="H103" s="20">
        <f>IF(G103&gt;0,ROUND(F103/G103,1),"-")</f>
        <v/>
      </c>
      <c r="I103" s="20">
        <f>IF(F103&lt;=J103,"Reorder",IF(F103&lt;=J103*1.5,"Low","OK"))</f>
        <v/>
      </c>
      <c r="J103" s="20" t="n">
        <v>30</v>
      </c>
      <c r="K103" s="22">
        <f>F103*L103</f>
        <v/>
      </c>
      <c r="L103" s="22" t="n">
        <v>3618</v>
      </c>
      <c r="M103" s="23" t="n">
        <v>0.35</v>
      </c>
    </row>
    <row r="104" ht="16" customHeight="1">
      <c r="A104" s="16" t="inlineStr">
        <is>
          <t>OU-0003</t>
        </is>
      </c>
      <c r="B104" s="16" t="inlineStr">
        <is>
          <t>Outerwear</t>
        </is>
      </c>
      <c r="C104" s="17" t="inlineStr">
        <is>
          <t>Puffer Jacket</t>
        </is>
      </c>
      <c r="D104" s="16" t="inlineStr">
        <is>
          <t>Sage</t>
        </is>
      </c>
      <c r="E104" s="16" t="inlineStr">
        <is>
          <t>XS–XXL</t>
        </is>
      </c>
      <c r="F104" s="16" t="n">
        <v>231</v>
      </c>
      <c r="G104" s="16" t="n">
        <v>24</v>
      </c>
      <c r="H104" s="16">
        <f>IF(G104&gt;0,ROUND(F104/G104,1),"-")</f>
        <v/>
      </c>
      <c r="I104" s="16">
        <f>IF(F104&lt;=J104,"Reorder",IF(F104&lt;=J104*1.5,"Low","OK"))</f>
        <v/>
      </c>
      <c r="J104" s="16" t="n">
        <v>40</v>
      </c>
      <c r="K104" s="18">
        <f>F104*L104</f>
        <v/>
      </c>
      <c r="L104" s="18" t="n">
        <v>4881</v>
      </c>
      <c r="M104" s="19" t="n">
        <v>0.516</v>
      </c>
    </row>
    <row r="105" ht="16" customHeight="1">
      <c r="A105" s="20" t="inlineStr">
        <is>
          <t>OU-0004</t>
        </is>
      </c>
      <c r="B105" s="20" t="inlineStr">
        <is>
          <t>Outerwear</t>
        </is>
      </c>
      <c r="C105" s="21" t="inlineStr">
        <is>
          <t>Leather Jacket</t>
        </is>
      </c>
      <c r="D105" s="20" t="inlineStr">
        <is>
          <t>Sage</t>
        </is>
      </c>
      <c r="E105" s="20" t="inlineStr">
        <is>
          <t>XS–XXL</t>
        </is>
      </c>
      <c r="F105" s="20" t="n">
        <v>122</v>
      </c>
      <c r="G105" s="20" t="n">
        <v>0</v>
      </c>
      <c r="H105" s="20">
        <f>IF(G105&gt;0,ROUND(F105/G105,1),"-")</f>
        <v/>
      </c>
      <c r="I105" s="20">
        <f>IF(F105&lt;=J105,"Reorder",IF(F105&lt;=J105*1.5,"Low","OK"))</f>
        <v/>
      </c>
      <c r="J105" s="20" t="n">
        <v>30</v>
      </c>
      <c r="K105" s="22">
        <f>F105*L105</f>
        <v/>
      </c>
      <c r="L105" s="22" t="n">
        <v>7571</v>
      </c>
      <c r="M105" s="23" t="n">
        <v>0.382</v>
      </c>
    </row>
    <row r="106" ht="16" customHeight="1">
      <c r="A106" s="16" t="inlineStr">
        <is>
          <t>OU-0005</t>
        </is>
      </c>
      <c r="B106" s="16" t="inlineStr">
        <is>
          <t>Outerwear</t>
        </is>
      </c>
      <c r="C106" s="17" t="inlineStr">
        <is>
          <t>Denim Jacket</t>
        </is>
      </c>
      <c r="D106" s="16" t="inlineStr">
        <is>
          <t>Camel</t>
        </is>
      </c>
      <c r="E106" s="16" t="inlineStr">
        <is>
          <t>XS–XXL</t>
        </is>
      </c>
      <c r="F106" s="16" t="n">
        <v>137</v>
      </c>
      <c r="G106" s="16" t="n">
        <v>23</v>
      </c>
      <c r="H106" s="16">
        <f>IF(G106&gt;0,ROUND(F106/G106,1),"-")</f>
        <v/>
      </c>
      <c r="I106" s="16">
        <f>IF(F106&lt;=J106,"Reorder",IF(F106&lt;=J106*1.5,"Low","OK"))</f>
        <v/>
      </c>
      <c r="J106" s="16" t="n">
        <v>20</v>
      </c>
      <c r="K106" s="18">
        <f>F106*L106</f>
        <v/>
      </c>
      <c r="L106" s="18" t="n">
        <v>6010</v>
      </c>
      <c r="M106" s="19" t="n">
        <v>0.552</v>
      </c>
    </row>
    <row r="107" ht="16" customHeight="1">
      <c r="A107" s="20" t="inlineStr">
        <is>
          <t>OU-0006</t>
        </is>
      </c>
      <c r="B107" s="20" t="inlineStr">
        <is>
          <t>Outerwear</t>
        </is>
      </c>
      <c r="C107" s="21" t="inlineStr">
        <is>
          <t>Bomber Jacket</t>
        </is>
      </c>
      <c r="D107" s="20" t="inlineStr">
        <is>
          <t>Sage</t>
        </is>
      </c>
      <c r="E107" s="20" t="inlineStr">
        <is>
          <t>XS–XXL</t>
        </is>
      </c>
      <c r="F107" s="20" t="n">
        <v>56</v>
      </c>
      <c r="G107" s="20" t="n">
        <v>8</v>
      </c>
      <c r="H107" s="20">
        <f>IF(G107&gt;0,ROUND(F107/G107,1),"-")</f>
        <v/>
      </c>
      <c r="I107" s="20">
        <f>IF(F107&lt;=J107,"Reorder",IF(F107&lt;=J107*1.5,"Low","OK"))</f>
        <v/>
      </c>
      <c r="J107" s="20" t="n">
        <v>25</v>
      </c>
      <c r="K107" s="22">
        <f>F107*L107</f>
        <v/>
      </c>
      <c r="L107" s="22" t="n">
        <v>3769</v>
      </c>
      <c r="M107" s="23" t="n">
        <v>0.29</v>
      </c>
    </row>
    <row r="108" ht="16" customHeight="1">
      <c r="A108" s="16" t="inlineStr">
        <is>
          <t>OU-0007</t>
        </is>
      </c>
      <c r="B108" s="16" t="inlineStr">
        <is>
          <t>Outerwear</t>
        </is>
      </c>
      <c r="C108" s="17" t="inlineStr">
        <is>
          <t>Rain Mac</t>
        </is>
      </c>
      <c r="D108" s="16" t="inlineStr">
        <is>
          <t>Blush</t>
        </is>
      </c>
      <c r="E108" s="16" t="inlineStr">
        <is>
          <t>XS–XXL</t>
        </is>
      </c>
      <c r="F108" s="16" t="n">
        <v>185</v>
      </c>
      <c r="G108" s="16" t="n">
        <v>5</v>
      </c>
      <c r="H108" s="16">
        <f>IF(G108&gt;0,ROUND(F108/G108,1),"-")</f>
        <v/>
      </c>
      <c r="I108" s="16">
        <f>IF(F108&lt;=J108,"Reorder",IF(F108&lt;=J108*1.5,"Low","OK"))</f>
        <v/>
      </c>
      <c r="J108" s="16" t="n">
        <v>40</v>
      </c>
      <c r="K108" s="18">
        <f>F108*L108</f>
        <v/>
      </c>
      <c r="L108" s="18" t="n">
        <v>6804</v>
      </c>
      <c r="M108" s="19" t="n">
        <v>0.593</v>
      </c>
    </row>
    <row r="109" ht="16" customHeight="1">
      <c r="A109" s="20" t="inlineStr">
        <is>
          <t>OU-0008</t>
        </is>
      </c>
      <c r="B109" s="20" t="inlineStr">
        <is>
          <t>Outerwear</t>
        </is>
      </c>
      <c r="C109" s="21" t="inlineStr">
        <is>
          <t>Teddy Coat</t>
        </is>
      </c>
      <c r="D109" s="20" t="inlineStr">
        <is>
          <t>White</t>
        </is>
      </c>
      <c r="E109" s="20" t="inlineStr">
        <is>
          <t>XS–XXL</t>
        </is>
      </c>
      <c r="F109" s="20" t="n">
        <v>6</v>
      </c>
      <c r="G109" s="20" t="n">
        <v>29</v>
      </c>
      <c r="H109" s="20">
        <f>IF(G109&gt;0,ROUND(F109/G109,1),"-")</f>
        <v/>
      </c>
      <c r="I109" s="20">
        <f>IF(F109&lt;=J109,"Reorder",IF(F109&lt;=J109*1.5,"Low","OK"))</f>
        <v/>
      </c>
      <c r="J109" s="20" t="n">
        <v>15</v>
      </c>
      <c r="K109" s="22">
        <f>F109*L109</f>
        <v/>
      </c>
      <c r="L109" s="22" t="n">
        <v>3455</v>
      </c>
      <c r="M109" s="23" t="n">
        <v>0.472</v>
      </c>
    </row>
    <row r="110" ht="16" customHeight="1">
      <c r="A110" s="16" t="inlineStr">
        <is>
          <t>OU-0009</t>
        </is>
      </c>
      <c r="B110" s="16" t="inlineStr">
        <is>
          <t>Outerwear</t>
        </is>
      </c>
      <c r="C110" s="17" t="inlineStr">
        <is>
          <t>Crombie</t>
        </is>
      </c>
      <c r="D110" s="16" t="inlineStr">
        <is>
          <t>Olive</t>
        </is>
      </c>
      <c r="E110" s="16" t="inlineStr">
        <is>
          <t>XS–XXL</t>
        </is>
      </c>
      <c r="F110" s="16" t="n">
        <v>164</v>
      </c>
      <c r="G110" s="16" t="n">
        <v>13</v>
      </c>
      <c r="H110" s="16">
        <f>IF(G110&gt;0,ROUND(F110/G110,1),"-")</f>
        <v/>
      </c>
      <c r="I110" s="16">
        <f>IF(F110&lt;=J110,"Reorder",IF(F110&lt;=J110*1.5,"Low","OK"))</f>
        <v/>
      </c>
      <c r="J110" s="16" t="n">
        <v>15</v>
      </c>
      <c r="K110" s="18">
        <f>F110*L110</f>
        <v/>
      </c>
      <c r="L110" s="18" t="n">
        <v>1518</v>
      </c>
      <c r="M110" s="19" t="n">
        <v>0.4370000000000001</v>
      </c>
    </row>
    <row r="111" ht="16" customHeight="1">
      <c r="A111" s="20" t="inlineStr">
        <is>
          <t>OU-0010</t>
        </is>
      </c>
      <c r="B111" s="20" t="inlineStr">
        <is>
          <t>Outerwear</t>
        </is>
      </c>
      <c r="C111" s="21" t="inlineStr">
        <is>
          <t>Gilet</t>
        </is>
      </c>
      <c r="D111" s="20" t="inlineStr">
        <is>
          <t>Olive</t>
        </is>
      </c>
      <c r="E111" s="20" t="inlineStr">
        <is>
          <t>XS–XXL</t>
        </is>
      </c>
      <c r="F111" s="20" t="n">
        <v>97</v>
      </c>
      <c r="G111" s="20" t="n">
        <v>10</v>
      </c>
      <c r="H111" s="20">
        <f>IF(G111&gt;0,ROUND(F111/G111,1),"-")</f>
        <v/>
      </c>
      <c r="I111" s="20">
        <f>IF(F111&lt;=J111,"Reorder",IF(F111&lt;=J111*1.5,"Low","OK"))</f>
        <v/>
      </c>
      <c r="J111" s="20" t="n">
        <v>30</v>
      </c>
      <c r="K111" s="22">
        <f>F111*L111</f>
        <v/>
      </c>
      <c r="L111" s="22" t="n">
        <v>2087</v>
      </c>
      <c r="M111" s="23" t="n">
        <v>0.391</v>
      </c>
    </row>
    <row r="112" ht="16" customHeight="1">
      <c r="A112" s="16" t="inlineStr">
        <is>
          <t>OU-0011</t>
        </is>
      </c>
      <c r="B112" s="16" t="inlineStr">
        <is>
          <t>Outerwear</t>
        </is>
      </c>
      <c r="C112" s="17" t="inlineStr">
        <is>
          <t>Shearling Jacket</t>
        </is>
      </c>
      <c r="D112" s="16" t="inlineStr">
        <is>
          <t>Camel</t>
        </is>
      </c>
      <c r="E112" s="16" t="inlineStr">
        <is>
          <t>XS–XXL</t>
        </is>
      </c>
      <c r="F112" s="16" t="n">
        <v>192</v>
      </c>
      <c r="G112" s="16" t="n">
        <v>30</v>
      </c>
      <c r="H112" s="16">
        <f>IF(G112&gt;0,ROUND(F112/G112,1),"-")</f>
        <v/>
      </c>
      <c r="I112" s="16">
        <f>IF(F112&lt;=J112,"Reorder",IF(F112&lt;=J112*1.5,"Low","OK"))</f>
        <v/>
      </c>
      <c r="J112" s="16" t="n">
        <v>15</v>
      </c>
      <c r="K112" s="18">
        <f>F112*L112</f>
        <v/>
      </c>
      <c r="L112" s="18" t="n">
        <v>6739</v>
      </c>
      <c r="M112" s="19" t="n">
        <v>0.366</v>
      </c>
    </row>
    <row r="113" ht="16" customHeight="1">
      <c r="A113" s="20" t="inlineStr">
        <is>
          <t>OU-0012</t>
        </is>
      </c>
      <c r="B113" s="20" t="inlineStr">
        <is>
          <t>Outerwear</t>
        </is>
      </c>
      <c r="C113" s="21" t="inlineStr">
        <is>
          <t>Pea Coat</t>
        </is>
      </c>
      <c r="D113" s="20" t="inlineStr">
        <is>
          <t>Beige</t>
        </is>
      </c>
      <c r="E113" s="20" t="inlineStr">
        <is>
          <t>XS–XXL</t>
        </is>
      </c>
      <c r="F113" s="20" t="n">
        <v>4</v>
      </c>
      <c r="G113" s="20" t="n">
        <v>23</v>
      </c>
      <c r="H113" s="20">
        <f>IF(G113&gt;0,ROUND(F113/G113,1),"-")</f>
        <v/>
      </c>
      <c r="I113" s="20">
        <f>IF(F113&lt;=J113,"Reorder",IF(F113&lt;=J113*1.5,"Low","OK"))</f>
        <v/>
      </c>
      <c r="J113" s="20" t="n">
        <v>25</v>
      </c>
      <c r="K113" s="22">
        <f>F113*L113</f>
        <v/>
      </c>
      <c r="L113" s="22" t="n">
        <v>4546</v>
      </c>
      <c r="M113" s="23" t="n">
        <v>0.62</v>
      </c>
    </row>
    <row r="114" ht="16" customHeight="1">
      <c r="A114" s="16" t="inlineStr">
        <is>
          <t>OU-0013</t>
        </is>
      </c>
      <c r="B114" s="16" t="inlineStr">
        <is>
          <t>Outerwear</t>
        </is>
      </c>
      <c r="C114" s="17" t="inlineStr">
        <is>
          <t>Cagoule</t>
        </is>
      </c>
      <c r="D114" s="16" t="inlineStr">
        <is>
          <t>Beige</t>
        </is>
      </c>
      <c r="E114" s="16" t="inlineStr">
        <is>
          <t>XS–XXL</t>
        </is>
      </c>
      <c r="F114" s="16" t="n">
        <v>166</v>
      </c>
      <c r="G114" s="16" t="n">
        <v>2</v>
      </c>
      <c r="H114" s="16">
        <f>IF(G114&gt;0,ROUND(F114/G114,1),"-")</f>
        <v/>
      </c>
      <c r="I114" s="16">
        <f>IF(F114&lt;=J114,"Reorder",IF(F114&lt;=J114*1.5,"Low","OK"))</f>
        <v/>
      </c>
      <c r="J114" s="16" t="n">
        <v>15</v>
      </c>
      <c r="K114" s="18">
        <f>F114*L114</f>
        <v/>
      </c>
      <c r="L114" s="18" t="n">
        <v>6359</v>
      </c>
      <c r="M114" s="19" t="n">
        <v>0.502</v>
      </c>
    </row>
    <row r="115" ht="16" customHeight="1">
      <c r="A115" s="20" t="inlineStr">
        <is>
          <t>OU-0014</t>
        </is>
      </c>
      <c r="B115" s="20" t="inlineStr">
        <is>
          <t>Outerwear</t>
        </is>
      </c>
      <c r="C115" s="21" t="inlineStr">
        <is>
          <t>Windbreaker</t>
        </is>
      </c>
      <c r="D115" s="20" t="inlineStr">
        <is>
          <t>Camel</t>
        </is>
      </c>
      <c r="E115" s="20" t="inlineStr">
        <is>
          <t>XS–XXL</t>
        </is>
      </c>
      <c r="F115" s="20" t="n">
        <v>51</v>
      </c>
      <c r="G115" s="20" t="n">
        <v>26</v>
      </c>
      <c r="H115" s="20">
        <f>IF(G115&gt;0,ROUND(F115/G115,1),"-")</f>
        <v/>
      </c>
      <c r="I115" s="20">
        <f>IF(F115&lt;=J115,"Reorder",IF(F115&lt;=J115*1.5,"Low","OK"))</f>
        <v/>
      </c>
      <c r="J115" s="20" t="n">
        <v>20</v>
      </c>
      <c r="K115" s="22">
        <f>F115*L115</f>
        <v/>
      </c>
      <c r="L115" s="22" t="n">
        <v>653</v>
      </c>
      <c r="M115" s="23" t="n">
        <v>0.332</v>
      </c>
    </row>
    <row r="116" ht="16" customHeight="1">
      <c r="A116" s="16" t="inlineStr">
        <is>
          <t>OU-0015</t>
        </is>
      </c>
      <c r="B116" s="16" t="inlineStr">
        <is>
          <t>Outerwear</t>
        </is>
      </c>
      <c r="C116" s="17" t="inlineStr">
        <is>
          <t>Longline Coat</t>
        </is>
      </c>
      <c r="D116" s="16" t="inlineStr">
        <is>
          <t>Rust</t>
        </is>
      </c>
      <c r="E116" s="16" t="inlineStr">
        <is>
          <t>XS–XXL</t>
        </is>
      </c>
      <c r="F116" s="16" t="n">
        <v>171</v>
      </c>
      <c r="G116" s="16" t="n">
        <v>3</v>
      </c>
      <c r="H116" s="16">
        <f>IF(G116&gt;0,ROUND(F116/G116,1),"-")</f>
        <v/>
      </c>
      <c r="I116" s="16">
        <f>IF(F116&lt;=J116,"Reorder",IF(F116&lt;=J116*1.5,"Low","OK"))</f>
        <v/>
      </c>
      <c r="J116" s="16" t="n">
        <v>25</v>
      </c>
      <c r="K116" s="18">
        <f>F116*L116</f>
        <v/>
      </c>
      <c r="L116" s="18" t="n">
        <v>4730</v>
      </c>
      <c r="M116" s="19" t="n">
        <v>0.354</v>
      </c>
    </row>
    <row r="117" ht="16" customHeight="1">
      <c r="A117" s="20" t="inlineStr">
        <is>
          <t>OU-0016</t>
        </is>
      </c>
      <c r="B117" s="20" t="inlineStr">
        <is>
          <t>Outerwear</t>
        </is>
      </c>
      <c r="C117" s="21" t="inlineStr">
        <is>
          <t>Double Breasted</t>
        </is>
      </c>
      <c r="D117" s="20" t="inlineStr">
        <is>
          <t>Navy</t>
        </is>
      </c>
      <c r="E117" s="20" t="inlineStr">
        <is>
          <t>XS–XXL</t>
        </is>
      </c>
      <c r="F117" s="20" t="n">
        <v>42</v>
      </c>
      <c r="G117" s="20" t="n">
        <v>19</v>
      </c>
      <c r="H117" s="20">
        <f>IF(G117&gt;0,ROUND(F117/G117,1),"-")</f>
        <v/>
      </c>
      <c r="I117" s="20">
        <f>IF(F117&lt;=J117,"Reorder",IF(F117&lt;=J117*1.5,"Low","OK"))</f>
        <v/>
      </c>
      <c r="J117" s="20" t="n">
        <v>15</v>
      </c>
      <c r="K117" s="22">
        <f>F117*L117</f>
        <v/>
      </c>
      <c r="L117" s="22" t="n">
        <v>5054</v>
      </c>
      <c r="M117" s="23" t="n">
        <v>0.534</v>
      </c>
    </row>
    <row r="118" ht="16" customHeight="1">
      <c r="A118" s="16" t="inlineStr">
        <is>
          <t>OU-0017</t>
        </is>
      </c>
      <c r="B118" s="16" t="inlineStr">
        <is>
          <t>Outerwear</t>
        </is>
      </c>
      <c r="C118" s="17" t="inlineStr">
        <is>
          <t>Faux Fur</t>
        </is>
      </c>
      <c r="D118" s="16" t="inlineStr">
        <is>
          <t>Teal</t>
        </is>
      </c>
      <c r="E118" s="16" t="inlineStr">
        <is>
          <t>XS–XXL</t>
        </is>
      </c>
      <c r="F118" s="16" t="n">
        <v>246</v>
      </c>
      <c r="G118" s="16" t="n">
        <v>9</v>
      </c>
      <c r="H118" s="16">
        <f>IF(G118&gt;0,ROUND(F118/G118,1),"-")</f>
        <v/>
      </c>
      <c r="I118" s="16">
        <f>IF(F118&lt;=J118,"Reorder",IF(F118&lt;=J118*1.5,"Low","OK"))</f>
        <v/>
      </c>
      <c r="J118" s="16" t="n">
        <v>25</v>
      </c>
      <c r="K118" s="18">
        <f>F118*L118</f>
        <v/>
      </c>
      <c r="L118" s="18" t="n">
        <v>1311</v>
      </c>
      <c r="M118" s="19" t="n">
        <v>0.289</v>
      </c>
    </row>
    <row r="119" ht="16" customHeight="1">
      <c r="A119" s="20" t="inlineStr">
        <is>
          <t>OU-0018</t>
        </is>
      </c>
      <c r="B119" s="20" t="inlineStr">
        <is>
          <t>Outerwear</t>
        </is>
      </c>
      <c r="C119" s="21" t="inlineStr">
        <is>
          <t>Cape</t>
        </is>
      </c>
      <c r="D119" s="20" t="inlineStr">
        <is>
          <t>White</t>
        </is>
      </c>
      <c r="E119" s="20" t="inlineStr">
        <is>
          <t>XS–XXL</t>
        </is>
      </c>
      <c r="F119" s="20" t="n">
        <v>173</v>
      </c>
      <c r="G119" s="20" t="n">
        <v>29</v>
      </c>
      <c r="H119" s="20">
        <f>IF(G119&gt;0,ROUND(F119/G119,1),"-")</f>
        <v/>
      </c>
      <c r="I119" s="20">
        <f>IF(F119&lt;=J119,"Reorder",IF(F119&lt;=J119*1.5,"Low","OK"))</f>
        <v/>
      </c>
      <c r="J119" s="20" t="n">
        <v>20</v>
      </c>
      <c r="K119" s="22">
        <f>F119*L119</f>
        <v/>
      </c>
      <c r="L119" s="22" t="n">
        <v>7686</v>
      </c>
      <c r="M119" s="23" t="n">
        <v>0.415</v>
      </c>
    </row>
    <row r="120" ht="16" customHeight="1">
      <c r="A120" s="16" t="inlineStr">
        <is>
          <t>OU-0019</t>
        </is>
      </c>
      <c r="B120" s="16" t="inlineStr">
        <is>
          <t>Outerwear</t>
        </is>
      </c>
      <c r="C120" s="17" t="inlineStr">
        <is>
          <t>Car Coat</t>
        </is>
      </c>
      <c r="D120" s="16" t="inlineStr">
        <is>
          <t>Teal</t>
        </is>
      </c>
      <c r="E120" s="16" t="inlineStr">
        <is>
          <t>XS–XXL</t>
        </is>
      </c>
      <c r="F120" s="16" t="n">
        <v>151</v>
      </c>
      <c r="G120" s="16" t="n">
        <v>22</v>
      </c>
      <c r="H120" s="16">
        <f>IF(G120&gt;0,ROUND(F120/G120,1),"-")</f>
        <v/>
      </c>
      <c r="I120" s="16">
        <f>IF(F120&lt;=J120,"Reorder",IF(F120&lt;=J120*1.5,"Low","OK"))</f>
        <v/>
      </c>
      <c r="J120" s="16" t="n">
        <v>25</v>
      </c>
      <c r="K120" s="18">
        <f>F120*L120</f>
        <v/>
      </c>
      <c r="L120" s="18" t="n">
        <v>6729</v>
      </c>
      <c r="M120" s="19" t="n">
        <v>0.363</v>
      </c>
    </row>
    <row r="121" ht="16" customHeight="1">
      <c r="A121" s="20" t="inlineStr">
        <is>
          <t>OU-0020</t>
        </is>
      </c>
      <c r="B121" s="20" t="inlineStr">
        <is>
          <t>Outerwear</t>
        </is>
      </c>
      <c r="C121" s="21" t="inlineStr">
        <is>
          <t>Quilted Jacket</t>
        </is>
      </c>
      <c r="D121" s="20" t="inlineStr">
        <is>
          <t>Rust</t>
        </is>
      </c>
      <c r="E121" s="20" t="inlineStr">
        <is>
          <t>XS–XXL</t>
        </is>
      </c>
      <c r="F121" s="20" t="n">
        <v>206</v>
      </c>
      <c r="G121" s="20" t="n">
        <v>3</v>
      </c>
      <c r="H121" s="20">
        <f>IF(G121&gt;0,ROUND(F121/G121,1),"-")</f>
        <v/>
      </c>
      <c r="I121" s="20">
        <f>IF(F121&lt;=J121,"Reorder",IF(F121&lt;=J121*1.5,"Low","OK"))</f>
        <v/>
      </c>
      <c r="J121" s="20" t="n">
        <v>15</v>
      </c>
      <c r="K121" s="22">
        <f>F121*L121</f>
        <v/>
      </c>
      <c r="L121" s="22" t="n">
        <v>6472</v>
      </c>
      <c r="M121" s="23" t="n">
        <v>0.472</v>
      </c>
    </row>
    <row r="122" ht="16" customHeight="1">
      <c r="A122" s="16" t="inlineStr">
        <is>
          <t>SW-0001</t>
        </is>
      </c>
      <c r="B122" s="16" t="inlineStr">
        <is>
          <t>Swimwear</t>
        </is>
      </c>
      <c r="C122" s="17" t="inlineStr">
        <is>
          <t>Bikini Set</t>
        </is>
      </c>
      <c r="D122" s="16" t="inlineStr">
        <is>
          <t>Black</t>
        </is>
      </c>
      <c r="E122" s="16" t="inlineStr">
        <is>
          <t>XS–XXL</t>
        </is>
      </c>
      <c r="F122" s="16" t="n">
        <v>136</v>
      </c>
      <c r="G122" s="16" t="n">
        <v>13</v>
      </c>
      <c r="H122" s="16">
        <f>IF(G122&gt;0,ROUND(F122/G122,1),"-")</f>
        <v/>
      </c>
      <c r="I122" s="16">
        <f>IF(F122&lt;=J122,"Reorder",IF(F122&lt;=J122*1.5,"Low","OK"))</f>
        <v/>
      </c>
      <c r="J122" s="16" t="n">
        <v>25</v>
      </c>
      <c r="K122" s="18">
        <f>F122*L122</f>
        <v/>
      </c>
      <c r="L122" s="18" t="n">
        <v>5461</v>
      </c>
      <c r="M122" s="19" t="n">
        <v>0.303</v>
      </c>
    </row>
    <row r="123" ht="16" customHeight="1">
      <c r="A123" s="20" t="inlineStr">
        <is>
          <t>SW-0002</t>
        </is>
      </c>
      <c r="B123" s="20" t="inlineStr">
        <is>
          <t>Swimwear</t>
        </is>
      </c>
      <c r="C123" s="21" t="inlineStr">
        <is>
          <t>One-Piece</t>
        </is>
      </c>
      <c r="D123" s="20" t="inlineStr">
        <is>
          <t>Camel</t>
        </is>
      </c>
      <c r="E123" s="20" t="inlineStr">
        <is>
          <t>XS–XXL</t>
        </is>
      </c>
      <c r="F123" s="20" t="n">
        <v>217</v>
      </c>
      <c r="G123" s="20" t="n">
        <v>13</v>
      </c>
      <c r="H123" s="20">
        <f>IF(G123&gt;0,ROUND(F123/G123,1),"-")</f>
        <v/>
      </c>
      <c r="I123" s="20">
        <f>IF(F123&lt;=J123,"Reorder",IF(F123&lt;=J123*1.5,"Low","OK"))</f>
        <v/>
      </c>
      <c r="J123" s="20" t="n">
        <v>25</v>
      </c>
      <c r="K123" s="22">
        <f>F123*L123</f>
        <v/>
      </c>
      <c r="L123" s="22" t="n">
        <v>6667</v>
      </c>
      <c r="M123" s="23" t="n">
        <v>0.316</v>
      </c>
    </row>
    <row r="124" ht="16" customHeight="1">
      <c r="A124" s="16" t="inlineStr">
        <is>
          <t>SW-0003</t>
        </is>
      </c>
      <c r="B124" s="16" t="inlineStr">
        <is>
          <t>Swimwear</t>
        </is>
      </c>
      <c r="C124" s="17" t="inlineStr">
        <is>
          <t>Tankini</t>
        </is>
      </c>
      <c r="D124" s="16" t="inlineStr">
        <is>
          <t>Teal</t>
        </is>
      </c>
      <c r="E124" s="16" t="inlineStr">
        <is>
          <t>XS–XXL</t>
        </is>
      </c>
      <c r="F124" s="16" t="n">
        <v>181</v>
      </c>
      <c r="G124" s="16" t="n">
        <v>4</v>
      </c>
      <c r="H124" s="16">
        <f>IF(G124&gt;0,ROUND(F124/G124,1),"-")</f>
        <v/>
      </c>
      <c r="I124" s="16">
        <f>IF(F124&lt;=J124,"Reorder",IF(F124&lt;=J124*1.5,"Low","OK"))</f>
        <v/>
      </c>
      <c r="J124" s="16" t="n">
        <v>25</v>
      </c>
      <c r="K124" s="18">
        <f>F124*L124</f>
        <v/>
      </c>
      <c r="L124" s="18" t="n">
        <v>3766</v>
      </c>
      <c r="M124" s="19" t="n">
        <v>0.529</v>
      </c>
    </row>
    <row r="125" ht="16" customHeight="1">
      <c r="A125" s="20" t="inlineStr">
        <is>
          <t>SW-0004</t>
        </is>
      </c>
      <c r="B125" s="20" t="inlineStr">
        <is>
          <t>Swimwear</t>
        </is>
      </c>
      <c r="C125" s="21" t="inlineStr">
        <is>
          <t>Halter Bikini</t>
        </is>
      </c>
      <c r="D125" s="20" t="inlineStr">
        <is>
          <t>Teal</t>
        </is>
      </c>
      <c r="E125" s="20" t="inlineStr">
        <is>
          <t>XS–XXL</t>
        </is>
      </c>
      <c r="F125" s="20" t="n">
        <v>206</v>
      </c>
      <c r="G125" s="20" t="n">
        <v>29</v>
      </c>
      <c r="H125" s="20">
        <f>IF(G125&gt;0,ROUND(F125/G125,1),"-")</f>
        <v/>
      </c>
      <c r="I125" s="20">
        <f>IF(F125&lt;=J125,"Reorder",IF(F125&lt;=J125*1.5,"Low","OK"))</f>
        <v/>
      </c>
      <c r="J125" s="20" t="n">
        <v>30</v>
      </c>
      <c r="K125" s="22">
        <f>F125*L125</f>
        <v/>
      </c>
      <c r="L125" s="22" t="n">
        <v>4536</v>
      </c>
      <c r="M125" s="23" t="n">
        <v>0.444</v>
      </c>
    </row>
    <row r="126" ht="16" customHeight="1">
      <c r="A126" s="16" t="inlineStr">
        <is>
          <t>SW-0005</t>
        </is>
      </c>
      <c r="B126" s="16" t="inlineStr">
        <is>
          <t>Swimwear</t>
        </is>
      </c>
      <c r="C126" s="17" t="inlineStr">
        <is>
          <t>Bandeau Top</t>
        </is>
      </c>
      <c r="D126" s="16" t="inlineStr">
        <is>
          <t>Olive</t>
        </is>
      </c>
      <c r="E126" s="16" t="inlineStr">
        <is>
          <t>XS–XXL</t>
        </is>
      </c>
      <c r="F126" s="16" t="n">
        <v>68</v>
      </c>
      <c r="G126" s="16" t="n">
        <v>10</v>
      </c>
      <c r="H126" s="16">
        <f>IF(G126&gt;0,ROUND(F126/G126,1),"-")</f>
        <v/>
      </c>
      <c r="I126" s="16">
        <f>IF(F126&lt;=J126,"Reorder",IF(F126&lt;=J126*1.5,"Low","OK"))</f>
        <v/>
      </c>
      <c r="J126" s="16" t="n">
        <v>15</v>
      </c>
      <c r="K126" s="18">
        <f>F126*L126</f>
        <v/>
      </c>
      <c r="L126" s="18" t="n">
        <v>6888</v>
      </c>
      <c r="M126" s="19" t="n">
        <v>0.5620000000000001</v>
      </c>
    </row>
    <row r="127" ht="16" customHeight="1">
      <c r="A127" s="20" t="inlineStr">
        <is>
          <t>SW-0006</t>
        </is>
      </c>
      <c r="B127" s="20" t="inlineStr">
        <is>
          <t>Swimwear</t>
        </is>
      </c>
      <c r="C127" s="21" t="inlineStr">
        <is>
          <t>High Waist Bottom</t>
        </is>
      </c>
      <c r="D127" s="20" t="inlineStr">
        <is>
          <t>Sage</t>
        </is>
      </c>
      <c r="E127" s="20" t="inlineStr">
        <is>
          <t>XS–XXL</t>
        </is>
      </c>
      <c r="F127" s="20" t="n">
        <v>225</v>
      </c>
      <c r="G127" s="20" t="n">
        <v>14</v>
      </c>
      <c r="H127" s="20">
        <f>IF(G127&gt;0,ROUND(F127/G127,1),"-")</f>
        <v/>
      </c>
      <c r="I127" s="20">
        <f>IF(F127&lt;=J127,"Reorder",IF(F127&lt;=J127*1.5,"Low","OK"))</f>
        <v/>
      </c>
      <c r="J127" s="20" t="n">
        <v>40</v>
      </c>
      <c r="K127" s="22">
        <f>F127*L127</f>
        <v/>
      </c>
      <c r="L127" s="22" t="n">
        <v>2329</v>
      </c>
      <c r="M127" s="23" t="n">
        <v>0.4379999999999999</v>
      </c>
    </row>
    <row r="128" ht="16" customHeight="1">
      <c r="A128" s="16" t="inlineStr">
        <is>
          <t>SW-0007</t>
        </is>
      </c>
      <c r="B128" s="16" t="inlineStr">
        <is>
          <t>Swimwear</t>
        </is>
      </c>
      <c r="C128" s="17" t="inlineStr">
        <is>
          <t>String Bikini</t>
        </is>
      </c>
      <c r="D128" s="16" t="inlineStr">
        <is>
          <t>Beige</t>
        </is>
      </c>
      <c r="E128" s="16" t="inlineStr">
        <is>
          <t>XS–XXL</t>
        </is>
      </c>
      <c r="F128" s="16" t="n">
        <v>86</v>
      </c>
      <c r="G128" s="16" t="n">
        <v>0</v>
      </c>
      <c r="H128" s="16">
        <f>IF(G128&gt;0,ROUND(F128/G128,1),"-")</f>
        <v/>
      </c>
      <c r="I128" s="16">
        <f>IF(F128&lt;=J128,"Reorder",IF(F128&lt;=J128*1.5,"Low","OK"))</f>
        <v/>
      </c>
      <c r="J128" s="16" t="n">
        <v>30</v>
      </c>
      <c r="K128" s="18">
        <f>F128*L128</f>
        <v/>
      </c>
      <c r="L128" s="18" t="n">
        <v>4207</v>
      </c>
      <c r="M128" s="19" t="n">
        <v>0.391</v>
      </c>
    </row>
    <row r="129" ht="16" customHeight="1">
      <c r="A129" s="20" t="inlineStr">
        <is>
          <t>SW-0008</t>
        </is>
      </c>
      <c r="B129" s="20" t="inlineStr">
        <is>
          <t>Swimwear</t>
        </is>
      </c>
      <c r="C129" s="21" t="inlineStr">
        <is>
          <t>Sports Swimsuit</t>
        </is>
      </c>
      <c r="D129" s="20" t="inlineStr">
        <is>
          <t>Olive</t>
        </is>
      </c>
      <c r="E129" s="20" t="inlineStr">
        <is>
          <t>XS–XXL</t>
        </is>
      </c>
      <c r="F129" s="20" t="n">
        <v>90</v>
      </c>
      <c r="G129" s="20" t="n">
        <v>25</v>
      </c>
      <c r="H129" s="20">
        <f>IF(G129&gt;0,ROUND(F129/G129,1),"-")</f>
        <v/>
      </c>
      <c r="I129" s="20">
        <f>IF(F129&lt;=J129,"Reorder",IF(F129&lt;=J129*1.5,"Low","OK"))</f>
        <v/>
      </c>
      <c r="J129" s="20" t="n">
        <v>40</v>
      </c>
      <c r="K129" s="22">
        <f>F129*L129</f>
        <v/>
      </c>
      <c r="L129" s="22" t="n">
        <v>2438</v>
      </c>
      <c r="M129" s="23" t="n">
        <v>0.375</v>
      </c>
    </row>
    <row r="130" ht="16" customHeight="1">
      <c r="A130" s="16" t="inlineStr">
        <is>
          <t>SW-0009</t>
        </is>
      </c>
      <c r="B130" s="16" t="inlineStr">
        <is>
          <t>Swimwear</t>
        </is>
      </c>
      <c r="C130" s="17" t="inlineStr">
        <is>
          <t>Ruched Swimsuit</t>
        </is>
      </c>
      <c r="D130" s="16" t="inlineStr">
        <is>
          <t>Sage</t>
        </is>
      </c>
      <c r="E130" s="16" t="inlineStr">
        <is>
          <t>XS–XXL</t>
        </is>
      </c>
      <c r="F130" s="16" t="n">
        <v>142</v>
      </c>
      <c r="G130" s="16" t="n">
        <v>0</v>
      </c>
      <c r="H130" s="16">
        <f>IF(G130&gt;0,ROUND(F130/G130,1),"-")</f>
        <v/>
      </c>
      <c r="I130" s="16">
        <f>IF(F130&lt;=J130,"Reorder",IF(F130&lt;=J130*1.5,"Low","OK"))</f>
        <v/>
      </c>
      <c r="J130" s="16" t="n">
        <v>20</v>
      </c>
      <c r="K130" s="18">
        <f>F130*L130</f>
        <v/>
      </c>
      <c r="L130" s="18" t="n">
        <v>4375</v>
      </c>
      <c r="M130" s="19" t="n">
        <v>0.345</v>
      </c>
    </row>
    <row r="131" ht="16" customHeight="1">
      <c r="A131" s="20" t="inlineStr">
        <is>
          <t>SW-0010</t>
        </is>
      </c>
      <c r="B131" s="20" t="inlineStr">
        <is>
          <t>Swimwear</t>
        </is>
      </c>
      <c r="C131" s="21" t="inlineStr">
        <is>
          <t>Cut-Out Swimsuit</t>
        </is>
      </c>
      <c r="D131" s="20" t="inlineStr">
        <is>
          <t>Camel</t>
        </is>
      </c>
      <c r="E131" s="20" t="inlineStr">
        <is>
          <t>XS–XXL</t>
        </is>
      </c>
      <c r="F131" s="20" t="n">
        <v>125</v>
      </c>
      <c r="G131" s="20" t="n">
        <v>17</v>
      </c>
      <c r="H131" s="20">
        <f>IF(G131&gt;0,ROUND(F131/G131,1),"-")</f>
        <v/>
      </c>
      <c r="I131" s="20">
        <f>IF(F131&lt;=J131,"Reorder",IF(F131&lt;=J131*1.5,"Low","OK"))</f>
        <v/>
      </c>
      <c r="J131" s="20" t="n">
        <v>30</v>
      </c>
      <c r="K131" s="22">
        <f>F131*L131</f>
        <v/>
      </c>
      <c r="L131" s="22" t="n">
        <v>6186</v>
      </c>
      <c r="M131" s="23" t="n">
        <v>0.515</v>
      </c>
    </row>
    <row r="132" ht="16" customHeight="1">
      <c r="A132" s="16" t="inlineStr">
        <is>
          <t>SW-0011</t>
        </is>
      </c>
      <c r="B132" s="16" t="inlineStr">
        <is>
          <t>Swimwear</t>
        </is>
      </c>
      <c r="C132" s="17" t="inlineStr">
        <is>
          <t>Tie-Dye Bikini</t>
        </is>
      </c>
      <c r="D132" s="16" t="inlineStr">
        <is>
          <t>Olive</t>
        </is>
      </c>
      <c r="E132" s="16" t="inlineStr">
        <is>
          <t>XS–XXL</t>
        </is>
      </c>
      <c r="F132" s="16" t="n">
        <v>202</v>
      </c>
      <c r="G132" s="16" t="n">
        <v>0</v>
      </c>
      <c r="H132" s="16">
        <f>IF(G132&gt;0,ROUND(F132/G132,1),"-")</f>
        <v/>
      </c>
      <c r="I132" s="16">
        <f>IF(F132&lt;=J132,"Reorder",IF(F132&lt;=J132*1.5,"Low","OK"))</f>
        <v/>
      </c>
      <c r="J132" s="16" t="n">
        <v>20</v>
      </c>
      <c r="K132" s="18">
        <f>F132*L132</f>
        <v/>
      </c>
      <c r="L132" s="18" t="n">
        <v>1198</v>
      </c>
      <c r="M132" s="19" t="n">
        <v>0.355</v>
      </c>
    </row>
    <row r="133" ht="16" customHeight="1">
      <c r="A133" s="20" t="inlineStr">
        <is>
          <t>SW-0012</t>
        </is>
      </c>
      <c r="B133" s="20" t="inlineStr">
        <is>
          <t>Swimwear</t>
        </is>
      </c>
      <c r="C133" s="21" t="inlineStr">
        <is>
          <t>Leopard Print</t>
        </is>
      </c>
      <c r="D133" s="20" t="inlineStr">
        <is>
          <t>Sage</t>
        </is>
      </c>
      <c r="E133" s="20" t="inlineStr">
        <is>
          <t>XS–XXL</t>
        </is>
      </c>
      <c r="F133" s="20" t="n">
        <v>169</v>
      </c>
      <c r="G133" s="20" t="n">
        <v>18</v>
      </c>
      <c r="H133" s="20">
        <f>IF(G133&gt;0,ROUND(F133/G133,1),"-")</f>
        <v/>
      </c>
      <c r="I133" s="20">
        <f>IF(F133&lt;=J133,"Reorder",IF(F133&lt;=J133*1.5,"Low","OK"))</f>
        <v/>
      </c>
      <c r="J133" s="20" t="n">
        <v>25</v>
      </c>
      <c r="K133" s="22">
        <f>F133*L133</f>
        <v/>
      </c>
      <c r="L133" s="22" t="n">
        <v>3268</v>
      </c>
      <c r="M133" s="23" t="n">
        <v>0.468</v>
      </c>
    </row>
    <row r="134" ht="16" customHeight="1">
      <c r="A134" s="16" t="inlineStr">
        <is>
          <t>SW-0013</t>
        </is>
      </c>
      <c r="B134" s="16" t="inlineStr">
        <is>
          <t>Swimwear</t>
        </is>
      </c>
      <c r="C134" s="17" t="inlineStr">
        <is>
          <t>Neon Bikini</t>
        </is>
      </c>
      <c r="D134" s="16" t="inlineStr">
        <is>
          <t>Olive</t>
        </is>
      </c>
      <c r="E134" s="16" t="inlineStr">
        <is>
          <t>XS–XXL</t>
        </is>
      </c>
      <c r="F134" s="16" t="n">
        <v>190</v>
      </c>
      <c r="G134" s="16" t="n">
        <v>17</v>
      </c>
      <c r="H134" s="16">
        <f>IF(G134&gt;0,ROUND(F134/G134,1),"-")</f>
        <v/>
      </c>
      <c r="I134" s="16">
        <f>IF(F134&lt;=J134,"Reorder",IF(F134&lt;=J134*1.5,"Low","OK"))</f>
        <v/>
      </c>
      <c r="J134" s="16" t="n">
        <v>25</v>
      </c>
      <c r="K134" s="18">
        <f>F134*L134</f>
        <v/>
      </c>
      <c r="L134" s="18" t="n">
        <v>2981</v>
      </c>
      <c r="M134" s="19" t="n">
        <v>0.519</v>
      </c>
    </row>
    <row r="135" ht="16" customHeight="1">
      <c r="A135" s="20" t="inlineStr">
        <is>
          <t>SW-0014</t>
        </is>
      </c>
      <c r="B135" s="20" t="inlineStr">
        <is>
          <t>Swimwear</t>
        </is>
      </c>
      <c r="C135" s="21" t="inlineStr">
        <is>
          <t>Mesh Insert</t>
        </is>
      </c>
      <c r="D135" s="20" t="inlineStr">
        <is>
          <t>Blush</t>
        </is>
      </c>
      <c r="E135" s="20" t="inlineStr">
        <is>
          <t>XS–XXL</t>
        </is>
      </c>
      <c r="F135" s="20" t="n">
        <v>64</v>
      </c>
      <c r="G135" s="20" t="n">
        <v>7</v>
      </c>
      <c r="H135" s="20">
        <f>IF(G135&gt;0,ROUND(F135/G135,1),"-")</f>
        <v/>
      </c>
      <c r="I135" s="20">
        <f>IF(F135&lt;=J135,"Reorder",IF(F135&lt;=J135*1.5,"Low","OK"))</f>
        <v/>
      </c>
      <c r="J135" s="20" t="n">
        <v>15</v>
      </c>
      <c r="K135" s="22">
        <f>F135*L135</f>
        <v/>
      </c>
      <c r="L135" s="22" t="n">
        <v>1405</v>
      </c>
      <c r="M135" s="23" t="n">
        <v>0.345</v>
      </c>
    </row>
    <row r="136" ht="16" customHeight="1">
      <c r="A136" s="16" t="inlineStr">
        <is>
          <t>SW-0015</t>
        </is>
      </c>
      <c r="B136" s="16" t="inlineStr">
        <is>
          <t>Swimwear</t>
        </is>
      </c>
      <c r="C136" s="17" t="inlineStr">
        <is>
          <t>Monokini</t>
        </is>
      </c>
      <c r="D136" s="16" t="inlineStr">
        <is>
          <t>Olive</t>
        </is>
      </c>
      <c r="E136" s="16" t="inlineStr">
        <is>
          <t>XS–XXL</t>
        </is>
      </c>
      <c r="F136" s="16" t="n">
        <v>243</v>
      </c>
      <c r="G136" s="16" t="n">
        <v>24</v>
      </c>
      <c r="H136" s="16">
        <f>IF(G136&gt;0,ROUND(F136/G136,1),"-")</f>
        <v/>
      </c>
      <c r="I136" s="16">
        <f>IF(F136&lt;=J136,"Reorder",IF(F136&lt;=J136*1.5,"Low","OK"))</f>
        <v/>
      </c>
      <c r="J136" s="16" t="n">
        <v>30</v>
      </c>
      <c r="K136" s="18">
        <f>F136*L136</f>
        <v/>
      </c>
      <c r="L136" s="18" t="n">
        <v>5676</v>
      </c>
      <c r="M136" s="19" t="n">
        <v>0.345</v>
      </c>
    </row>
    <row r="137" ht="16" customHeight="1">
      <c r="A137" s="20" t="inlineStr">
        <is>
          <t>SW-0016</t>
        </is>
      </c>
      <c r="B137" s="20" t="inlineStr">
        <is>
          <t>Swimwear</t>
        </is>
      </c>
      <c r="C137" s="21" t="inlineStr">
        <is>
          <t>Rash Guard Set</t>
        </is>
      </c>
      <c r="D137" s="20" t="inlineStr">
        <is>
          <t>White</t>
        </is>
      </c>
      <c r="E137" s="20" t="inlineStr">
        <is>
          <t>XS–XXL</t>
        </is>
      </c>
      <c r="F137" s="20" t="n">
        <v>185</v>
      </c>
      <c r="G137" s="20" t="n">
        <v>18</v>
      </c>
      <c r="H137" s="20">
        <f>IF(G137&gt;0,ROUND(F137/G137,1),"-")</f>
        <v/>
      </c>
      <c r="I137" s="20">
        <f>IF(F137&lt;=J137,"Reorder",IF(F137&lt;=J137*1.5,"Low","OK"))</f>
        <v/>
      </c>
      <c r="J137" s="20" t="n">
        <v>25</v>
      </c>
      <c r="K137" s="22">
        <f>F137*L137</f>
        <v/>
      </c>
      <c r="L137" s="22" t="n">
        <v>7825</v>
      </c>
      <c r="M137" s="23" t="n">
        <v>0.458</v>
      </c>
    </row>
    <row r="138" ht="16" customHeight="1">
      <c r="A138" s="16" t="inlineStr">
        <is>
          <t>SW-0017</t>
        </is>
      </c>
      <c r="B138" s="16" t="inlineStr">
        <is>
          <t>Swimwear</t>
        </is>
      </c>
      <c r="C138" s="17" t="inlineStr">
        <is>
          <t>Swim Shorts</t>
        </is>
      </c>
      <c r="D138" s="16" t="inlineStr">
        <is>
          <t>Black</t>
        </is>
      </c>
      <c r="E138" s="16" t="inlineStr">
        <is>
          <t>XS–XXL</t>
        </is>
      </c>
      <c r="F138" s="16" t="n">
        <v>213</v>
      </c>
      <c r="G138" s="16" t="n">
        <v>6</v>
      </c>
      <c r="H138" s="16">
        <f>IF(G138&gt;0,ROUND(F138/G138,1),"-")</f>
        <v/>
      </c>
      <c r="I138" s="16">
        <f>IF(F138&lt;=J138,"Reorder",IF(F138&lt;=J138*1.5,"Low","OK"))</f>
        <v/>
      </c>
      <c r="J138" s="16" t="n">
        <v>25</v>
      </c>
      <c r="K138" s="18">
        <f>F138*L138</f>
        <v/>
      </c>
      <c r="L138" s="18" t="n">
        <v>2722</v>
      </c>
      <c r="M138" s="19" t="n">
        <v>0.403</v>
      </c>
    </row>
    <row r="139" ht="16" customHeight="1">
      <c r="A139" s="20" t="inlineStr">
        <is>
          <t>SW-0018</t>
        </is>
      </c>
      <c r="B139" s="20" t="inlineStr">
        <is>
          <t>Swimwear</t>
        </is>
      </c>
      <c r="C139" s="21" t="inlineStr">
        <is>
          <t>Cover-Up Dress</t>
        </is>
      </c>
      <c r="D139" s="20" t="inlineStr">
        <is>
          <t>Blush</t>
        </is>
      </c>
      <c r="E139" s="20" t="inlineStr">
        <is>
          <t>XS–XXL</t>
        </is>
      </c>
      <c r="F139" s="20" t="n">
        <v>181</v>
      </c>
      <c r="G139" s="20" t="n">
        <v>17</v>
      </c>
      <c r="H139" s="20">
        <f>IF(G139&gt;0,ROUND(F139/G139,1),"-")</f>
        <v/>
      </c>
      <c r="I139" s="20">
        <f>IF(F139&lt;=J139,"Reorder",IF(F139&lt;=J139*1.5,"Low","OK"))</f>
        <v/>
      </c>
      <c r="J139" s="20" t="n">
        <v>15</v>
      </c>
      <c r="K139" s="22">
        <f>F139*L139</f>
        <v/>
      </c>
      <c r="L139" s="22" t="n">
        <v>1449</v>
      </c>
      <c r="M139" s="23" t="n">
        <v>0.295</v>
      </c>
    </row>
    <row r="140" ht="16" customHeight="1">
      <c r="A140" s="16" t="inlineStr">
        <is>
          <t>SW-0019</t>
        </is>
      </c>
      <c r="B140" s="16" t="inlineStr">
        <is>
          <t>Swimwear</t>
        </is>
      </c>
      <c r="C140" s="17" t="inlineStr">
        <is>
          <t>Sarong</t>
        </is>
      </c>
      <c r="D140" s="16" t="inlineStr">
        <is>
          <t>White</t>
        </is>
      </c>
      <c r="E140" s="16" t="inlineStr">
        <is>
          <t>XS–XXL</t>
        </is>
      </c>
      <c r="F140" s="16" t="n">
        <v>74</v>
      </c>
      <c r="G140" s="16" t="n">
        <v>22</v>
      </c>
      <c r="H140" s="16">
        <f>IF(G140&gt;0,ROUND(F140/G140,1),"-")</f>
        <v/>
      </c>
      <c r="I140" s="16">
        <f>IF(F140&lt;=J140,"Reorder",IF(F140&lt;=J140*1.5,"Low","OK"))</f>
        <v/>
      </c>
      <c r="J140" s="16" t="n">
        <v>30</v>
      </c>
      <c r="K140" s="18">
        <f>F140*L140</f>
        <v/>
      </c>
      <c r="L140" s="18" t="n">
        <v>7581</v>
      </c>
      <c r="M140" s="19" t="n">
        <v>0.4970000000000001</v>
      </c>
    </row>
    <row r="141" ht="16" customHeight="1">
      <c r="A141" s="20" t="inlineStr">
        <is>
          <t>SW-0020</t>
        </is>
      </c>
      <c r="B141" s="20" t="inlineStr">
        <is>
          <t>Swimwear</t>
        </is>
      </c>
      <c r="C141" s="21" t="inlineStr">
        <is>
          <t>Beach Kaftan</t>
        </is>
      </c>
      <c r="D141" s="20" t="inlineStr">
        <is>
          <t>Rust</t>
        </is>
      </c>
      <c r="E141" s="20" t="inlineStr">
        <is>
          <t>XS–XXL</t>
        </is>
      </c>
      <c r="F141" s="20" t="n">
        <v>223</v>
      </c>
      <c r="G141" s="20" t="n">
        <v>0</v>
      </c>
      <c r="H141" s="20">
        <f>IF(G141&gt;0,ROUND(F141/G141,1),"-")</f>
        <v/>
      </c>
      <c r="I141" s="20">
        <f>IF(F141&lt;=J141,"Reorder",IF(F141&lt;=J141*1.5,"Low","OK"))</f>
        <v/>
      </c>
      <c r="J141" s="20" t="n">
        <v>30</v>
      </c>
      <c r="K141" s="22">
        <f>F141*L141</f>
        <v/>
      </c>
      <c r="L141" s="22" t="n">
        <v>4805</v>
      </c>
      <c r="M141" s="23" t="n">
        <v>0.44</v>
      </c>
    </row>
  </sheetData>
  <autoFilter ref="A1:M141"/>
  <conditionalFormatting sqref="I2:I141">
    <cfRule type="cellIs" priority="1" operator="equal" dxfId="0">
      <formula>"Reorder"</formula>
    </cfRule>
    <cfRule type="cellIs" priority="2" operator="equal" dxfId="1">
      <formula>"Low"</formula>
    </cfRule>
    <cfRule type="cellIs" priority="3" operator="equal" dxfId="2">
      <formula>"OK"</formula>
    </cfRule>
  </conditionalFormatting>
  <conditionalFormatting sqref="F2:F141">
    <cfRule type="colorScale" priority="4">
      <colorScale>
        <cfvo type="num" val="0"/>
        <cfvo type="num" val="100"/>
        <cfvo type="num" val="250"/>
        <color rgb="00E24B4A"/>
        <color rgb="00FAC775"/>
        <color rgb="001D9E7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0" customWidth="1" min="4" max="4"/>
    <col width="18" customWidth="1" min="5" max="5"/>
    <col width="13" customWidth="1" min="6" max="6"/>
    <col width="12" customWidth="1" min="7" max="7"/>
    <col width="28" customWidth="1" min="8" max="8"/>
  </cols>
  <sheetData>
    <row r="1" ht="28" customHeight="1">
      <c r="A1" s="24" t="inlineStr">
        <is>
          <t>DATA PIPELINE — RUN LOG</t>
        </is>
      </c>
    </row>
    <row r="2" ht="20" customHeight="1">
      <c r="A2" s="25" t="inlineStr">
        <is>
          <t>Run ID</t>
        </is>
      </c>
      <c r="B2" s="25" t="inlineStr">
        <is>
          <t>Timestamp</t>
        </is>
      </c>
      <c r="C2" s="25" t="inlineStr">
        <is>
          <t>Stage</t>
        </is>
      </c>
      <c r="D2" s="25" t="inlineStr">
        <is>
          <t>Status</t>
        </is>
      </c>
      <c r="E2" s="25" t="inlineStr">
        <is>
          <t>Records Processed</t>
        </is>
      </c>
      <c r="F2" s="25" t="inlineStr">
        <is>
          <t>Duration (s)</t>
        </is>
      </c>
      <c r="G2" s="25" t="inlineStr">
        <is>
          <t>Error Count</t>
        </is>
      </c>
      <c r="H2" s="25" t="inlineStr">
        <is>
          <t>Notes</t>
        </is>
      </c>
    </row>
    <row r="3" ht="18" customHeight="1">
      <c r="A3" s="26" t="inlineStr">
        <is>
          <t>RUN-2400</t>
        </is>
      </c>
      <c r="B3" s="26" t="inlineStr">
        <is>
          <t>2026-04-17 14:00 IST</t>
        </is>
      </c>
      <c r="C3" s="26" t="inlineStr">
        <is>
          <t>Kafka Ingestion</t>
        </is>
      </c>
      <c r="D3" s="27" t="inlineStr">
        <is>
          <t>SUCCESS</t>
        </is>
      </c>
      <c r="E3" s="26" t="n">
        <v>142800</v>
      </c>
      <c r="F3" s="26" t="n">
        <v>4.2</v>
      </c>
      <c r="G3" s="26" t="n">
        <v>0</v>
      </c>
      <c r="H3" s="28" t="inlineStr">
        <is>
          <t>12 sources · 3 topics</t>
        </is>
      </c>
    </row>
    <row r="4" ht="18" customHeight="1">
      <c r="A4" s="29" t="inlineStr">
        <is>
          <t>RUN-2401</t>
        </is>
      </c>
      <c r="B4" s="29" t="inlineStr">
        <is>
          <t>2026-04-17 14:00 IST</t>
        </is>
      </c>
      <c r="C4" s="29" t="inlineStr">
        <is>
          <t>Stream Processor</t>
        </is>
      </c>
      <c r="D4" s="27" t="inlineStr">
        <is>
          <t>SUCCESS</t>
        </is>
      </c>
      <c r="E4" s="29" t="n">
        <v>142800</v>
      </c>
      <c r="F4" s="29" t="n">
        <v>11.7</v>
      </c>
      <c r="G4" s="29" t="n">
        <v>0</v>
      </c>
      <c r="H4" s="30" t="inlineStr">
        <is>
          <t>2590 dupes filtered</t>
        </is>
      </c>
    </row>
    <row r="5" ht="18" customHeight="1">
      <c r="A5" s="26" t="inlineStr">
        <is>
          <t>RUN-2402</t>
        </is>
      </c>
      <c r="B5" s="26" t="inlineStr">
        <is>
          <t>2026-04-17 14:00 IST</t>
        </is>
      </c>
      <c r="C5" s="26" t="inlineStr">
        <is>
          <t>dbt Staging</t>
        </is>
      </c>
      <c r="D5" s="27" t="inlineStr">
        <is>
          <t>SUCCESS</t>
        </is>
      </c>
      <c r="E5" s="26" t="n">
        <v>140210</v>
      </c>
      <c r="F5" s="26" t="n">
        <v>38.4</v>
      </c>
      <c r="G5" s="26" t="n">
        <v>0</v>
      </c>
      <c r="H5" s="28" t="inlineStr">
        <is>
          <t>Incremental run</t>
        </is>
      </c>
    </row>
    <row r="6" ht="18" customHeight="1">
      <c r="A6" s="29" t="inlineStr">
        <is>
          <t>RUN-2403</t>
        </is>
      </c>
      <c r="B6" s="29" t="inlineStr">
        <is>
          <t>2026-04-17 14:00 IST</t>
        </is>
      </c>
      <c r="C6" s="29" t="inlineStr">
        <is>
          <t>dbt Tests</t>
        </is>
      </c>
      <c r="D6" s="27" t="inlineStr">
        <is>
          <t>SUCCESS</t>
        </is>
      </c>
      <c r="E6" s="29" t="n">
        <v>140210</v>
      </c>
      <c r="F6" s="29" t="n">
        <v>12.1</v>
      </c>
      <c r="G6" s="29" t="n">
        <v>0</v>
      </c>
      <c r="H6" s="30" t="inlineStr">
        <is>
          <t>All tests pass</t>
        </is>
      </c>
    </row>
    <row r="7" ht="18" customHeight="1">
      <c r="A7" s="26" t="inlineStr">
        <is>
          <t>RUN-2404</t>
        </is>
      </c>
      <c r="B7" s="26" t="inlineStr">
        <is>
          <t>2026-04-17 14:00 IST</t>
        </is>
      </c>
      <c r="C7" s="26" t="inlineStr">
        <is>
          <t>dbt Marts</t>
        </is>
      </c>
      <c r="D7" s="27" t="inlineStr">
        <is>
          <t>SUCCESS</t>
        </is>
      </c>
      <c r="E7" s="26" t="n">
        <v>140210</v>
      </c>
      <c r="F7" s="26" t="n">
        <v>25.3</v>
      </c>
      <c r="G7" s="26" t="n">
        <v>0</v>
      </c>
      <c r="H7" s="28" t="inlineStr">
        <is>
          <t>2 marts rebuilt</t>
        </is>
      </c>
    </row>
    <row r="8" ht="18" customHeight="1">
      <c r="A8" s="29" t="inlineStr">
        <is>
          <t>RUN-2405</t>
        </is>
      </c>
      <c r="B8" s="29" t="inlineStr">
        <is>
          <t>2026-04-17 14:00 IST</t>
        </is>
      </c>
      <c r="C8" s="29" t="inlineStr">
        <is>
          <t>BI Refresh</t>
        </is>
      </c>
      <c r="D8" s="27" t="inlineStr">
        <is>
          <t>SUCCESS</t>
        </is>
      </c>
      <c r="E8" s="29" t="inlineStr">
        <is>
          <t>N/A</t>
        </is>
      </c>
      <c r="F8" s="29" t="n">
        <v>3.8</v>
      </c>
      <c r="G8" s="29" t="n">
        <v>0</v>
      </c>
      <c r="H8" s="30" t="inlineStr">
        <is>
          <t>3 views refreshed</t>
        </is>
      </c>
    </row>
    <row r="9" ht="18" customHeight="1">
      <c r="A9" s="26" t="inlineStr">
        <is>
          <t>RUN-2406</t>
        </is>
      </c>
      <c r="B9" s="26" t="inlineStr">
        <is>
          <t>2026-04-17 14:00 IST</t>
        </is>
      </c>
      <c r="C9" s="26" t="inlineStr">
        <is>
          <t>Alert Dispatch</t>
        </is>
      </c>
      <c r="D9" s="31" t="inlineStr">
        <is>
          <t>WARNING</t>
        </is>
      </c>
      <c r="E9" s="26" t="inlineStr">
        <is>
          <t>N/A</t>
        </is>
      </c>
      <c r="F9" s="26" t="n">
        <v>0.9</v>
      </c>
      <c r="G9" s="26" t="n">
        <v>3</v>
      </c>
      <c r="H9" s="28" t="inlineStr">
        <is>
          <t>27 reorder alerts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3" customWidth="1" min="5" max="5"/>
    <col width="8" customWidth="1" min="6" max="6"/>
    <col width="13" customWidth="1" min="7" max="7"/>
    <col width="14" customWidth="1" min="8" max="8"/>
    <col width="18" customWidth="1" min="9" max="9"/>
  </cols>
  <sheetData>
    <row r="1" ht="28" customHeight="1">
      <c r="A1" s="32" t="inlineStr">
        <is>
          <t>⚠  LIVE REORDER ALERTS — REQUIRES BUYER ACTION</t>
        </is>
      </c>
    </row>
    <row r="2" ht="20" customHeight="1">
      <c r="A2" s="25" t="inlineStr">
        <is>
          <t>SKU</t>
        </is>
      </c>
      <c r="B2" s="25" t="inlineStr">
        <is>
          <t>Category</t>
        </is>
      </c>
      <c r="C2" s="25" t="inlineStr">
        <is>
          <t>Product</t>
        </is>
      </c>
      <c r="D2" s="25" t="inlineStr">
        <is>
          <t>Stock on Hand</t>
        </is>
      </c>
      <c r="E2" s="25" t="inlineStr">
        <is>
          <t>Reorder Point</t>
        </is>
      </c>
      <c r="F2" s="25" t="inlineStr">
        <is>
          <t>Gap</t>
        </is>
      </c>
      <c r="G2" s="25" t="inlineStr">
        <is>
          <t>Days on Hand</t>
        </is>
      </c>
      <c r="H2" s="25" t="inlineStr">
        <is>
          <t>Urgency</t>
        </is>
      </c>
      <c r="I2" s="25" t="inlineStr">
        <is>
          <t>Suggested Order Qty</t>
        </is>
      </c>
    </row>
    <row r="3" ht="18" customHeight="1">
      <c r="A3" s="33" t="inlineStr">
        <is>
          <t>DR-0004</t>
        </is>
      </c>
      <c r="B3" s="33" t="inlineStr">
        <is>
          <t>Dresses</t>
        </is>
      </c>
      <c r="C3" s="33" t="inlineStr">
        <is>
          <t>Bodycon Dress</t>
        </is>
      </c>
      <c r="D3" s="33" t="n">
        <v>4</v>
      </c>
      <c r="E3" s="33" t="n">
        <v>20</v>
      </c>
      <c r="F3" s="33" t="n">
        <v>16</v>
      </c>
      <c r="G3" s="33" t="n">
        <v>0.8</v>
      </c>
      <c r="H3" s="34" t="inlineStr">
        <is>
          <t>OUT OF STOCK</t>
        </is>
      </c>
      <c r="I3" s="33" t="n">
        <v>120</v>
      </c>
    </row>
    <row r="4" ht="18" customHeight="1">
      <c r="A4" s="35" t="inlineStr">
        <is>
          <t>DN-0004</t>
        </is>
      </c>
      <c r="B4" s="35" t="inlineStr">
        <is>
          <t>Denim</t>
        </is>
      </c>
      <c r="C4" s="35" t="inlineStr">
        <is>
          <t>Mom Jean</t>
        </is>
      </c>
      <c r="D4" s="35" t="n">
        <v>6</v>
      </c>
      <c r="E4" s="35" t="n">
        <v>25</v>
      </c>
      <c r="F4" s="35" t="n">
        <v>19</v>
      </c>
      <c r="G4" s="35" t="n">
        <v>1.1</v>
      </c>
      <c r="H4" s="34" t="inlineStr">
        <is>
          <t>CRITICAL</t>
        </is>
      </c>
      <c r="I4" s="35" t="n">
        <v>90</v>
      </c>
    </row>
    <row r="5" ht="18" customHeight="1">
      <c r="A5" s="33" t="inlineStr">
        <is>
          <t>DR-0001</t>
        </is>
      </c>
      <c r="B5" s="33" t="inlineStr">
        <is>
          <t>Dresses</t>
        </is>
      </c>
      <c r="C5" s="33" t="inlineStr">
        <is>
          <t>Silk Wrap Dress</t>
        </is>
      </c>
      <c r="D5" s="33" t="n">
        <v>12</v>
      </c>
      <c r="E5" s="33" t="n">
        <v>30</v>
      </c>
      <c r="F5" s="33" t="n">
        <v>18</v>
      </c>
      <c r="G5" s="33" t="n">
        <v>1.9</v>
      </c>
      <c r="H5" s="34" t="inlineStr">
        <is>
          <t>CRITICAL</t>
        </is>
      </c>
      <c r="I5" s="33" t="n">
        <v>80</v>
      </c>
    </row>
    <row r="6" ht="18" customHeight="1">
      <c r="A6" s="35" t="inlineStr">
        <is>
          <t>FW-0002</t>
        </is>
      </c>
      <c r="B6" s="35" t="inlineStr">
        <is>
          <t>Footwear</t>
        </is>
      </c>
      <c r="C6" s="35" t="inlineStr">
        <is>
          <t>Platform Boot</t>
        </is>
      </c>
      <c r="D6" s="35" t="n">
        <v>14</v>
      </c>
      <c r="E6" s="35" t="n">
        <v>20</v>
      </c>
      <c r="F6" s="35" t="n">
        <v>6</v>
      </c>
      <c r="G6" s="35" t="n">
        <v>3.2</v>
      </c>
      <c r="H6" s="34" t="inlineStr">
        <is>
          <t>CRITICAL</t>
        </is>
      </c>
      <c r="I6" s="35" t="n">
        <v>60</v>
      </c>
    </row>
    <row r="7" ht="18" customHeight="1">
      <c r="A7" s="36" t="inlineStr">
        <is>
          <t>OW-0001</t>
        </is>
      </c>
      <c r="B7" s="36" t="inlineStr">
        <is>
          <t>Outerwear</t>
        </is>
      </c>
      <c r="C7" s="36" t="inlineStr">
        <is>
          <t>Trench Coat</t>
        </is>
      </c>
      <c r="D7" s="36" t="n">
        <v>15</v>
      </c>
      <c r="E7" s="36" t="n">
        <v>15</v>
      </c>
      <c r="F7" s="36" t="n">
        <v>0</v>
      </c>
      <c r="G7" s="36" t="n">
        <v>5.4</v>
      </c>
      <c r="H7" s="37" t="inlineStr">
        <is>
          <t>LOW</t>
        </is>
      </c>
      <c r="I7" s="36" t="n">
        <v>45</v>
      </c>
    </row>
    <row r="8" ht="18" customHeight="1">
      <c r="A8" s="38" t="inlineStr">
        <is>
          <t>TW-0001</t>
        </is>
      </c>
      <c r="B8" s="38" t="inlineStr">
        <is>
          <t>Tops</t>
        </is>
      </c>
      <c r="C8" s="38" t="inlineStr">
        <is>
          <t>Ribbed Tank</t>
        </is>
      </c>
      <c r="D8" s="38" t="n">
        <v>19</v>
      </c>
      <c r="E8" s="38" t="n">
        <v>30</v>
      </c>
      <c r="F8" s="38" t="n">
        <v>11</v>
      </c>
      <c r="G8" s="38" t="n">
        <v>6.1</v>
      </c>
      <c r="H8" s="37" t="inlineStr">
        <is>
          <t>LOW</t>
        </is>
      </c>
      <c r="I8" s="38" t="n">
        <v>55</v>
      </c>
    </row>
    <row r="9" ht="18" customHeight="1">
      <c r="A9" s="36" t="inlineStr">
        <is>
          <t>FW-0003</t>
        </is>
      </c>
      <c r="B9" s="36" t="inlineStr">
        <is>
          <t>Footwear</t>
        </is>
      </c>
      <c r="C9" s="36" t="inlineStr">
        <is>
          <t>Loafer</t>
        </is>
      </c>
      <c r="D9" s="36" t="n">
        <v>20</v>
      </c>
      <c r="E9" s="36" t="n">
        <v>20</v>
      </c>
      <c r="F9" s="36" t="n">
        <v>0</v>
      </c>
      <c r="G9" s="36" t="n">
        <v>7.8</v>
      </c>
      <c r="H9" s="37" t="inlineStr">
        <is>
          <t>LOW</t>
        </is>
      </c>
      <c r="I9" s="36" t="n">
        <v>40</v>
      </c>
    </row>
    <row r="10" ht="18" customHeight="1">
      <c r="A10" s="38" t="inlineStr">
        <is>
          <t>AC-0001</t>
        </is>
      </c>
      <c r="B10" s="38" t="inlineStr">
        <is>
          <t>Accessories</t>
        </is>
      </c>
      <c r="C10" s="38" t="inlineStr">
        <is>
          <t>Leather Belt</t>
        </is>
      </c>
      <c r="D10" s="38" t="n">
        <v>22</v>
      </c>
      <c r="E10" s="38" t="n">
        <v>30</v>
      </c>
      <c r="F10" s="38" t="n">
        <v>8</v>
      </c>
      <c r="G10" s="38" t="n">
        <v>9.199999999999999</v>
      </c>
      <c r="H10" s="37" t="inlineStr">
        <is>
          <t>LOW</t>
        </is>
      </c>
      <c r="I10" s="38" t="n">
        <v>50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2026-04-17T16:17:30Z</dcterms:created>
  <dcterms:modified xmlns:dcterms="http://purl.org/dc/terms/" xmlns:xsi="http://www.w3.org/2001/XMLSchema-instance" xsi:type="dcterms:W3CDTF">2026-04-17T16:17:30Z</dcterms:modified>
</cp:coreProperties>
</file>